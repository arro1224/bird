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229c6a24e449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ea3399a1de0c4c93"/>
    <x:sheet xmlns:r="http://schemas.openxmlformats.org/officeDocument/2006/relationships" name="进度计划" sheetId="2" r:id="R2f0ddb3e9a7c4405"/>
    <x:sheet xmlns:r="http://schemas.openxmlformats.org/officeDocument/2006/relationships" name="对接矩阵" sheetId="3" r:id="R78626f1523844ae5"/>
    <x:sheet xmlns:r="http://schemas.openxmlformats.org/officeDocument/2006/relationships" name="风险问题" sheetId="4" r:id="R286ebc71e1c34f08"/>
    <x:sheet xmlns:r="http://schemas.openxmlformats.org/officeDocument/2006/relationships" name="里程碑" sheetId="5" r:id="Rddc44bde0ad64b9a"/>
    <x:sheet xmlns:r="http://schemas.openxmlformats.org/officeDocument/2006/relationships" name="来源清单" sheetId="6" r:id="R61bace946b204b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0"/>
    <x:numFmt numFmtId="202" formatCode="@"/>
    <x:numFmt numFmtId="203" formatCode="0.00"/>
    <x:numFmt numFmtId="204" formatCode="0%"/>
    <x:numFmt numFmtId="205" formatCode="yyyy-mm-dd"/>
  </x:numFmts>
  <x:fonts count="11">
    <x:font>
      <x:sz val="11"/>
      <x:name val="Carlito"/>
    </x:font>
    <x:font>
      <x:b/>
      <x:sz val="18"/>
      <x:color rgb="FFFFFFFF"/>
      <x:name val="Carlito"/>
    </x:font>
    <x:font>
      <x:sz val="10"/>
      <x:color rgb="FF1F4D78"/>
      <x:name val="Carlito"/>
    </x:font>
    <x:font>
      <x:b/>
      <x:sz val="10"/>
      <x:color rgb="FF1F4D78"/>
      <x:name val="Carlito"/>
    </x:font>
    <x:font>
      <x:b/>
      <x:sz val="22"/>
      <x:color rgb="FF17365D"/>
      <x:name val="Carlito"/>
    </x:font>
    <x:font>
      <x:b/>
      <x:sz val="24"/>
      <x:color rgb="FFFFFFFF"/>
      <x:name val="Carlito"/>
    </x:font>
    <x:font>
      <x:b/>
      <x:sz val="18"/>
      <x:color rgb="FF17365D"/>
      <x:name val="Carlito"/>
    </x:font>
    <x:font>
      <x:b/>
      <x:sz val="10"/>
      <x:color rgb="FFFFFFFF"/>
      <x:name val="Carlito"/>
    </x:font>
    <x:font>
      <x:sz val="9"/>
      <x:color rgb="FF202124"/>
      <x:name val="Carlito"/>
    </x:font>
    <x:font>
      <x:b/>
      <x:sz val="10"/>
      <x:color rgb="FF9C0006"/>
      <x:name val="Carlito"/>
    </x:font>
    <x:font>
      <x:b/>
      <x:sz val="10"/>
      <x:color rgb="FF7F6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2F4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D78"/>
      </x:patternFill>
    </x:fill>
  </x:fills>
  <x:borders count="2">
    <x:border/>
    <x:border>
      <x:bottom/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200" fontId="5" fillId="2" borderId="0" xfId="0" applyNumberFormat="1" applyFont="1" applyFill="1" applyBorder="1"/>
    <x:xf numFmtId="200" fontId="5" fillId="2" borderId="0" xfId="0" applyNumberFormat="1" applyFont="1" applyFill="1" applyBorder="1" applyAlignment="1">
      <x:alignment horizontal="center"/>
    </x:xf>
    <x:xf numFmtId="200" fontId="5" fillId="2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/>
    <x:xf numFmtId="200" fontId="6" fillId="6" borderId="0" xfId="0" applyNumberFormat="1" applyFont="1" applyFill="1" applyBorder="1"/>
    <x:xf numFmtId="200" fontId="6" fillId="6" borderId="0" xfId="0" applyNumberFormat="1" applyFont="1" applyFill="1" applyBorder="1" applyAlignment="1">
      <x:alignment horizontal="center"/>
    </x:xf>
    <x:xf numFmtId="200" fontId="6" fillId="6" borderId="0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/>
    <x:xf numFmtId="201" fontId="6" fillId="7" borderId="0" xfId="0" applyNumberFormat="1" applyFont="1" applyFill="1" applyBorder="1"/>
    <x:xf numFmtId="201" fontId="6" fillId="7" borderId="0" xfId="0" applyNumberFormat="1" applyFont="1" applyFill="1" applyBorder="1" applyAlignment="1">
      <x:alignment horizontal="center"/>
    </x:xf>
    <x:xf numFmtId="201" fontId="6" fillId="7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202" fontId="6" fillId="4" borderId="0" xfId="0" applyNumberFormat="1" applyFont="1" applyFill="1" applyBorder="1"/>
    <x:xf numFmtId="202" fontId="6" fillId="4" borderId="0" xfId="0" applyNumberFormat="1" applyFont="1" applyFill="1" applyBorder="1" applyAlignment="1">
      <x:alignment horizontal="center"/>
    </x:xf>
    <x:xf numFmtId="202" fontId="6" fillId="4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horizont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203" fontId="8" fillId="0" borderId="0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horizontal="left" wrapText="1"/>
    </x:xf>
    <x:xf numFmtId="0" fontId="9" fillId="7" borderId="0" xfId="0" applyNumberFormat="1" applyFont="1" applyFill="1" applyBorder="1" applyAlignment="1">
      <x:alignment horizontal="left" vertical="center" wrapText="1"/>
    </x:xf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horizontal="left" wrapText="1"/>
    </x:xf>
    <x:xf numFmtId="0" fontId="10" fillId="6" borderId="0" xfId="0" applyNumberFormat="1" applyFont="1" applyFill="1" applyBorder="1" applyAlignment="1">
      <x:alignment horizontal="left" vertical="center"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204" fontId="8" fillId="0" borderId="0" xfId="0" applyNumberFormat="1" applyFont="1" applyFill="1" applyBorder="1" applyAlignment="1">
      <x:alignment horizontal="center" vertical="center" wrapText="1"/>
    </x:xf>
    <x:xf numFmtId="203" fontId="8" fillId="0" borderId="0" xfId="0" applyNumberFormat="1" applyFont="1" applyFill="1" applyBorder="1" applyAlignment="1">
      <x:alignment horizontal="center" vertical="center" wrapText="1"/>
    </x:xf>
    <x:xf numFmtId="205" fontId="8" fillId="0" borderId="0" xfId="0" applyNumberFormat="1" applyFont="1" applyFill="1" applyBorder="1" applyAlignment="1">
      <x:alignment vertical="center" wrapText="1"/>
    </x:xf>
    <x:xf numFmtId="205" fontId="8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6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6B76"/>
      </x:font>
      <x:fill>
        <x:patternFill patternType="solid">
          <x:bgColor rgb="FFF2F4F7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833C0C"/>
      </x:font>
      <x:fill>
        <x:patternFill patternType="solid">
          <x:bgColor rgb="FFF4B18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7da7043ac14273" /><Relationship Type="http://schemas.openxmlformats.org/officeDocument/2006/relationships/theme" Target="/xl/theme/theme1.xml" Id="R15ec149102b94aca" /><Relationship Type="http://schemas.openxmlformats.org/officeDocument/2006/relationships/sharedStrings" Target="/xl/sharedStrings.xml" Id="Rb029833316164afa" /><Relationship Type="http://schemas.openxmlformats.org/officeDocument/2006/relationships/worksheet" Target="/xl/worksheets/sheet1.xml" Id="Rea3399a1de0c4c93" /><Relationship Type="http://schemas.openxmlformats.org/officeDocument/2006/relationships/worksheet" Target="/xl/worksheets/sheet2.xml" Id="R2f0ddb3e9a7c4405" /><Relationship Type="http://schemas.openxmlformats.org/officeDocument/2006/relationships/worksheet" Target="/xl/worksheets/sheet3.xml" Id="R78626f1523844ae5" /><Relationship Type="http://schemas.openxmlformats.org/officeDocument/2006/relationships/worksheet" Target="/xl/worksheets/sheet4.xml" Id="R286ebc71e1c34f08" /><Relationship Type="http://schemas.openxmlformats.org/officeDocument/2006/relationships/worksheet" Target="/xl/worksheets/sheet5.xml" Id="Rddc44bde0ad64b9a" /><Relationship Type="http://schemas.openxmlformats.org/officeDocument/2006/relationships/worksheet" Target="/xl/worksheets/sheet6.xml" Id="R61bace946b204be4" /></Relationships>
</file>

<file path=xl/tables/table1.xml><?xml version="1.0" encoding="utf-8"?>
<x:table xmlns:x="http://schemas.openxmlformats.org/spreadsheetml/2006/main" id="1" name="MergeProgressTable" displayName="MergeProgressTable" ref="A4:R47" headerRowCount="1" totalsRowCount="0" totalsRowShown="0">
  <x:tableColumns count="18">
    <x:tableColumn id="1" name="ID"/>
    <x:tableColumn id="2" name="批次"/>
    <x:tableColumn id="3" name="工作域"/>
    <x:tableColumn id="4" name="工作项"/>
    <x:tableColumn id="5" name="来源"/>
    <x:tableColumn id="6" name="状态"/>
    <x:tableColumn id="7" name="完成度"/>
    <x:tableColumn id="8" name="权重"/>
    <x:tableColumn id="9" name="加权完成"/>
    <x:tableColumn id="10" name="优先级"/>
    <x:tableColumn id="11" name="计划开始"/>
    <x:tableColumn id="12" name="计划结束"/>
    <x:tableColumn id="13" name="实际完成"/>
    <x:tableColumn id="14" name="Owner"/>
    <x:tableColumn id="15" name="依赖"/>
    <x:tableColumn id="16" name="交付物"/>
    <x:tableColumn id="17" name="验收标准"/>
    <x:tableColumn id="18" name="证据 / 差距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tegrationMatrixTable" displayName="IntegrationMatrixTable" ref="A4:H16" headerRowCount="1" totalsRowCount="0" totalsRowShown="0">
  <x:tableColumns count="8">
    <x:tableColumn id="1" name="ID"/>
    <x:tableColumn id="2" name="业务链路"/>
    <x:tableColumn id="3" name="起点模块"/>
    <x:tableColumn id="4" name="目标模块"/>
    <x:tableColumn id="5" name="怎么对接"/>
    <x:tableColumn id="6" name="协议/数据"/>
    <x:tableColumn id="7" name="状态"/>
    <x:tableColumn id="8" name="差距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rgeRiskTable" displayName="MergeRiskTable" ref="A4:L15" headerRowCount="1" totalsRowCount="0" totalsRowShown="0">
  <x:tableColumns count="12">
    <x:tableColumn id="1" name="ID"/>
    <x:tableColumn id="2" name="分类"/>
    <x:tableColumn id="3" name="风险"/>
    <x:tableColumn id="4" name="触发条件"/>
    <x:tableColumn id="5" name="概率"/>
    <x:tableColumn id="6" name="影响"/>
    <x:tableColumn id="7" name="分数"/>
    <x:tableColumn id="8" name="等级"/>
    <x:tableColumn id="9" name="Owner"/>
    <x:tableColumn id="10" name="缓解措施"/>
    <x:tableColumn id="11" name="状态"/>
    <x:tableColumn id="12" name="截止日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ilestoneTable" displayName="MilestoneTable" ref="A4:F10" headerRowCount="1" totalsRowCount="0" totalsRowShown="0">
  <x:tableColumns count="6">
    <x:tableColumn id="1" name="ID"/>
    <x:tableColumn id="2" name="里程碑"/>
    <x:tableColumn id="3" name="计划日期"/>
    <x:tableColumn id="4" name="进度"/>
    <x:tableColumn id="5" name="状态"/>
    <x:tableColumn id="6" name="完成条件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Table" displayName="SourceTable" ref="A4:E13" headerRowCount="1" totalsRowCount="0" totalsRowShown="0">
  <x:tableColumns count="5">
    <x:tableColumn id="1" name="ID"/>
    <x:tableColumn id="2" name="资料"/>
    <x:tableColumn id="3" name="类型"/>
    <x:tableColumn id="4" name="路径"/>
    <x:tableColumn id="5" name="用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8f2996ab0440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a7b0336e8443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558a905b554c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b27e36c47f49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428e4bdc98c44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1" hidden="0" customWidth="1"/>
    <x:col min="4" max="4" width="12" hidden="0" customWidth="1"/>
    <x:col min="5" max="5" width="12" hidden="0" customWidth="1"/>
    <x:col min="6" max="6" width="16" hidden="0" customWidth="1"/>
    <x:col min="7" max="7" width="3" hidden="0" customWidth="1"/>
    <x:col min="8" max="8" width="14" hidden="0" customWidth="1"/>
    <x:col min="9" max="9" width="10" hidden="0" customWidth="1"/>
    <x:col min="10" max="10" width="13" hidden="0" customWidth="1"/>
    <x:col min="11" max="11" width="10" hidden="0" customWidth="1"/>
    <x:col min="12" max="12" width="11" hidden="0" customWidth="1"/>
    <x:col min="13" max="13" width="3" hidden="0" customWidth="1"/>
    <x:col min="14" max="14" width="12" hidden="0" customWidth="1"/>
  </x:cols>
  <x:sheetData>
    <x:row r="1" ht="34" customHeight="1">
      <x:c r="A1" s="4" t="str">
        <x:v>birdpart2 项目合并进度总览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9" t="str">
        <x:v>基线 2026-08-01｜codex/integration-birdpart2@fb99f208a4e0｜契约 birdbox-v1@1.0.0｜建议完成 2026-08-15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8" customHeight="1"/>
    <x:row r="5">
      <x:c r="A5" s="12" t="str">
        <x:v>总任务数</x:v>
      </x:c>
      <x:c r="B5" s="12"/>
      <x:c r="D5" s="12" t="str">
        <x:v>已完成</x:v>
      </x:c>
      <x:c r="E5" s="12"/>
      <x:c r="G5" s="12" t="str">
        <x:v>进行中</x:v>
      </x:c>
      <x:c r="H5" s="12"/>
      <x:c r="J5" s="12" t="str">
        <x:v>阻塞</x:v>
      </x:c>
      <x:c r="K5" s="12"/>
    </x:row>
    <x:row r="6">
      <x:c r="A6" s="16" t="n">
        <x:f>COUNTA('进度计划'!$A$5:$A$47)</x:f>
        <x:v>43</x:v>
      </x:c>
      <x:c r="B6" s="16"/>
      <x:c r="D6" s="20" t="n">
        <x:f>COUNTIF('进度计划'!$F$5:$F$47,"已完成")</x:f>
        <x:v>30</x:v>
      </x:c>
      <x:c r="E6" s="20"/>
      <x:c r="G6" s="24" t="n">
        <x:f>COUNTIF('进度计划'!$F$5:$F$47,"进行中")</x:f>
        <x:v>5</x:v>
      </x:c>
      <x:c r="H6" s="24"/>
      <x:c r="J6" s="28" t="n">
        <x:f>COUNTIF('进度计划'!$F$5:$F$47,"阻塞")</x:f>
        <x:v>7</x:v>
      </x:c>
      <x:c r="K6" s="28"/>
    </x:row>
    <x:row r="7">
      <x:c r="A7" s="16"/>
      <x:c r="B7" s="16"/>
      <x:c r="D7" s="20"/>
      <x:c r="E7" s="20"/>
      <x:c r="G7" s="24"/>
      <x:c r="H7" s="24"/>
      <x:c r="J7" s="28"/>
      <x:c r="K7" s="28"/>
    </x:row>
    <x:row r="9">
      <x:c r="A9" t="str">
        <x:v>加权总体进度</x:v>
      </x:c>
      <x:c r="D9" s="12" t="str">
        <x:v>剩余权重</x:v>
      </x:c>
      <x:c r="E9" s="12"/>
      <x:c r="F9" s="12"/>
      <x:c r="G9" s="12" t="str">
        <x:v>极高风险</x:v>
      </x:c>
      <x:c r="H9" s="12"/>
      <x:c r="I9" s="12"/>
      <x:c r="J9" s="12" t="str">
        <x:v>发布状态</x:v>
      </x:c>
      <x:c r="K9" s="12"/>
      <x:c r="L9" s="12"/>
    </x:row>
    <x:row r="10">
      <x:c r="A10" s="32" t="n">
        <x:f>SUM('进度计划'!$I$5:$I$47)/SUM('进度计划'!$H$5:$H$47)</x:f>
        <x:v>0.7535</x:v>
      </x:c>
      <x:c r="B10" s="32"/>
      <x:c r="C10" s="32"/>
      <x:c r="D10" s="36" t="n">
        <x:f>1-A10</x:f>
        <x:v>0.24650000000000005</x:v>
      </x:c>
      <x:c r="E10" s="36"/>
      <x:c r="F10" s="36"/>
      <x:c r="G10" s="40" t="n">
        <x:f>COUNTIF('风险问题'!$H$5:$H$15,"极高")</x:f>
        <x:v>5</x:v>
      </x:c>
      <x:c r="H10" s="40"/>
      <x:c r="I10" s="40"/>
      <x:c r="J10" s="44" t="str">
        <x:v>NO-GO</x:v>
      </x:c>
      <x:c r="K10" s="44"/>
      <x:c r="L10" s="44"/>
    </x:row>
    <x:row r="11">
      <x:c r="A11" s="32"/>
      <x:c r="B11" s="32"/>
      <x:c r="C11" s="32"/>
      <x:c r="D11" s="36"/>
      <x:c r="E11" s="36"/>
      <x:c r="F11" s="36"/>
      <x:c r="G11" s="40"/>
      <x:c r="H11" s="40"/>
      <x:c r="I11" s="40"/>
      <x:c r="J11" s="44"/>
      <x:c r="K11" s="44"/>
      <x:c r="L11" s="44"/>
    </x:row>
    <x:row r="13" ht="28" customHeight="1">
      <x:c r="A13" s="50" t="str">
        <x:v>批次</x:v>
      </x:c>
      <x:c r="B13" s="50" t="str">
        <x:v>主题</x:v>
      </x:c>
      <x:c r="C13" s="50" t="str">
        <x:v>权重</x:v>
      </x:c>
      <x:c r="D13" s="50" t="str">
        <x:v>已获权重</x:v>
      </x:c>
      <x:c r="E13" s="50" t="str">
        <x:v>进度</x:v>
      </x:c>
      <x:c r="F13" s="50" t="str">
        <x:v>判定</x:v>
      </x:c>
      <x:c r="H13" s="50" t="str">
        <x:v>状态</x:v>
      </x:c>
      <x:c r="I13" s="50" t="str">
        <x:v>数量</x:v>
      </x:c>
    </x:row>
    <x:row r="14">
      <x:c r="A14" s="53" t="str">
        <x:v>B0</x:v>
      </x:c>
      <x:c r="B14" s="53" t="str">
        <x:v>冻结基线与 v1 契约</x:v>
      </x:c>
      <x:c r="C14" s="54" t="n">
        <x:f>SUMIF('进度计划'!$B$5:$B$47,A14,'进度计划'!$H$5:$H$47)</x:f>
        <x:v>10</x:v>
      </x:c>
      <x:c r="D14" s="54" t="n">
        <x:f>SUMIF('进度计划'!$B$5:$B$47,A14,'进度计划'!$I$5:$I$47)</x:f>
        <x:v>7</x:v>
      </x:c>
      <x:c r="E14" s="55" t="n">
        <x:f>IFERROR(D14/C14,0)</x:f>
        <x:v>0.7</x:v>
      </x:c>
      <x:c r="F14" s="53" t="str">
        <x:f>IF(COUNTIFS('进度计划'!$B$5:$B$47,A14,'进度计划'!$F$5:$F$47,"阻塞")&gt;0,"外部阻塞",IF(E14=1,"已完成","进行中"))</x:f>
        <x:v>外部阻塞</x:v>
      </x:c>
      <x:c r="H14" s="53" t="str">
        <x:v>已完成</x:v>
      </x:c>
      <x:c r="I14" s="53" t="n">
        <x:f>COUNTIF('进度计划'!$F$5:$F$47,H14)</x:f>
        <x:v>30</x:v>
      </x:c>
    </x:row>
    <x:row r="15">
      <x:c r="A15" s="53" t="str">
        <x:v>B1</x:v>
      </x:c>
      <x:c r="B15" s="53" t="str">
        <x:v>统一入口、Shell 与导航</x:v>
      </x:c>
      <x:c r="C15" s="54" t="n">
        <x:f>SUMIF('进度计划'!$B$5:$B$47,A15,'进度计划'!$H$5:$H$47)</x:f>
        <x:v>12</x:v>
      </x:c>
      <x:c r="D15" s="54" t="n">
        <x:f>SUMIF('进度计划'!$B$5:$B$47,A15,'进度计划'!$I$5:$I$47)</x:f>
        <x:v>12</x:v>
      </x:c>
      <x:c r="E15" s="55" t="n">
        <x:f>IFERROR(D15/C15,0)</x:f>
        <x:v>1</x:v>
      </x:c>
      <x:c r="F15" s="53" t="str">
        <x:f>IF(COUNTIFS('进度计划'!$B$5:$B$47,A15,'进度计划'!$F$5:$F$47,"阻塞")&gt;0,"外部阻塞",IF(E15=1,"已完成","进行中"))</x:f>
        <x:v>已完成</x:v>
      </x:c>
      <x:c r="H15" s="53" t="str">
        <x:v>进行中</x:v>
      </x:c>
      <x:c r="I15" s="53" t="n">
        <x:f>COUNTIF('进度计划'!$F$5:$F$47,H15)</x:f>
        <x:v>5</x:v>
      </x:c>
    </x:row>
    <x:row r="16">
      <x:c r="A16" s="53" t="str">
        <x:v>B2</x:v>
      </x:c>
      <x:c r="B16" s="53" t="str">
        <x:v>统一 DTO、错误、缓存与迁移</x:v>
      </x:c>
      <x:c r="C16" s="54" t="n">
        <x:f>SUMIF('进度计划'!$B$5:$B$47,A16,'进度计划'!$H$5:$H$47)</x:f>
        <x:v>13</x:v>
      </x:c>
      <x:c r="D16" s="54" t="n">
        <x:f>SUMIF('进度计划'!$B$5:$B$47,A16,'进度计划'!$I$5:$I$47)</x:f>
        <x:v>11.8</x:v>
      </x:c>
      <x:c r="E16" s="55" t="n">
        <x:f>IFERROR(D16/C16,0)</x:f>
        <x:v>0.9076923076923078</x:v>
      </x:c>
      <x:c r="F16" s="53" t="str">
        <x:f>IF(COUNTIFS('进度计划'!$B$5:$B$47,A16,'进度计划'!$F$5:$F$47,"阻塞")&gt;0,"外部阻塞",IF(E16=1,"已完成","进行中"))</x:f>
        <x:v>进行中</x:v>
      </x:c>
      <x:c r="H16" s="53" t="str">
        <x:v>阻塞</x:v>
      </x:c>
      <x:c r="I16" s="53" t="n">
        <x:f>COUNTIF('进度计划'!$F$5:$F$47,H16)</x:f>
        <x:v>7</x:v>
      </x:c>
    </x:row>
    <x:row r="17">
      <x:c r="A17" s="53" t="str">
        <x:v>B3</x:v>
      </x:c>
      <x:c r="B17" s="53" t="str">
        <x:v>配对与全通道鉴权</x:v>
      </x:c>
      <x:c r="C17" s="54" t="n">
        <x:f>SUMIF('进度计划'!$B$5:$B$47,A17,'进度计划'!$H$5:$H$47)</x:f>
        <x:v>14</x:v>
      </x:c>
      <x:c r="D17" s="54" t="n">
        <x:f>SUMIF('进度计划'!$B$5:$B$47,A17,'进度计划'!$I$5:$I$47)</x:f>
        <x:v>11</x:v>
      </x:c>
      <x:c r="E17" s="55" t="n">
        <x:f>IFERROR(D17/C17,0)</x:f>
        <x:v>0.7857142857142857</x:v>
      </x:c>
      <x:c r="F17" s="53" t="str">
        <x:f>IF(COUNTIFS('进度计划'!$B$5:$B$47,A17,'进度计划'!$F$5:$F$47,"阻塞")&gt;0,"外部阻塞",IF(E17=1,"已完成","进行中"))</x:f>
        <x:v>外部阻塞</x:v>
      </x:c>
      <x:c r="H17" s="53" t="str">
        <x:v>待开始</x:v>
      </x:c>
      <x:c r="I17" s="53" t="n">
        <x:f>COUNTIF('进度计划'!$F$5:$F$47,H17)</x:f>
        <x:v>1</x:v>
      </x:c>
    </x:row>
    <x:row r="18">
      <x:c r="A18" s="53" t="str">
        <x:v>B4</x:v>
      </x:c>
      <x:c r="B18" s="53" t="str">
        <x:v>任务流程真实 API 化</x:v>
      </x:c>
      <x:c r="C18" s="54" t="n">
        <x:f>SUMIF('进度计划'!$B$5:$B$47,A18,'进度计划'!$H$5:$H$47)</x:f>
        <x:v>14</x:v>
      </x:c>
      <x:c r="D18" s="54" t="n">
        <x:f>SUMIF('进度计划'!$B$5:$B$47,A18,'进度计划'!$I$5:$I$47)</x:f>
        <x:v>11</x:v>
      </x:c>
      <x:c r="E18" s="55" t="n">
        <x:f>IFERROR(D18/C18,0)</x:f>
        <x:v>0.7857142857142857</x:v>
      </x:c>
      <x:c r="F18" s="53" t="str">
        <x:f>IF(COUNTIFS('进度计划'!$B$5:$B$47,A18,'进度计划'!$F$5:$F$47,"阻塞")&gt;0,"外部阻塞",IF(E18=1,"已完成","进行中"))</x:f>
        <x:v>外部阻塞</x:v>
      </x:c>
    </x:row>
    <x:row r="19">
      <x:c r="A19" s="53" t="str">
        <x:v>B5</x:v>
      </x:c>
      <x:c r="B19" s="53" t="str">
        <x:v>相册、审阅与 project_id 贯通</x:v>
      </x:c>
      <x:c r="C19" s="54" t="n">
        <x:f>SUMIF('进度计划'!$B$5:$B$47,A19,'进度计划'!$H$5:$H$47)</x:f>
        <x:v>13</x:v>
      </x:c>
      <x:c r="D19" s="54" t="n">
        <x:f>SUMIF('进度计划'!$B$5:$B$47,A19,'进度计划'!$I$5:$I$47)</x:f>
        <x:v>10</x:v>
      </x:c>
      <x:c r="E19" s="55" t="n">
        <x:f>IFERROR(D19/C19,0)</x:f>
        <x:v>0.7692307692307693</x:v>
      </x:c>
      <x:c r="F19" s="53" t="str">
        <x:f>IF(COUNTIFS('进度计划'!$B$5:$B$47,A19,'进度计划'!$F$5:$F$47,"阻塞")&gt;0,"外部阻塞",IF(E19=1,"已完成","进行中"))</x:f>
        <x:v>外部阻塞</x:v>
      </x:c>
      <x:c r="H19" s="62" t="str">
        <x:v>发布硬门：strict baseline、11 项真盒 E2E、正式签名验签、干净工作区。任何一项未通过，结果均为 NO-GO。</x:v>
      </x:c>
      <x:c r="I19" s="62"/>
      <x:c r="J19" s="62"/>
      <x:c r="K19" s="62"/>
      <x:c r="L19" s="62"/>
      <x:c r="M19" s="62"/>
      <x:c r="N19" s="62"/>
    </x:row>
    <x:row r="20">
      <x:c r="A20" s="53" t="str">
        <x:v>B6</x:v>
      </x:c>
      <x:c r="B20" s="53" t="str">
        <x:v>复制、任务、日志与设置收口</x:v>
      </x:c>
      <x:c r="C20" s="54" t="n">
        <x:f>SUMIF('进度计划'!$B$5:$B$47,A20,'进度计划'!$H$5:$H$47)</x:f>
        <x:v>12</x:v>
      </x:c>
      <x:c r="D20" s="54" t="n">
        <x:f>SUMIF('进度计划'!$B$5:$B$47,A20,'进度计划'!$I$5:$I$47)</x:f>
        <x:v>7.75</x:v>
      </x:c>
      <x:c r="E20" s="55" t="n">
        <x:f>IFERROR(D20/C20,0)</x:f>
        <x:v>0.6458333333333334</x:v>
      </x:c>
      <x:c r="F20" s="53" t="str">
        <x:f>IF(COUNTIFS('进度计划'!$B$5:$B$47,A20,'进度计划'!$F$5:$F$47,"阻塞")&gt;0,"外部阻塞",IF(E20=1,"已完成","进行中"))</x:f>
        <x:v>外部阻塞</x:v>
      </x:c>
      <x:c r="H20" s="62"/>
      <x:c r="I20" s="62"/>
      <x:c r="J20" s="62"/>
      <x:c r="K20" s="62"/>
      <x:c r="L20" s="62"/>
      <x:c r="M20" s="62"/>
      <x:c r="N20" s="62"/>
    </x:row>
    <x:row r="21">
      <x:c r="A21" s="53" t="str">
        <x:v>B7</x:v>
      </x:c>
      <x:c r="B21" s="53" t="str">
        <x:v>mock、真机与发布门禁</x:v>
      </x:c>
      <x:c r="C21" s="54" t="n">
        <x:f>SUMIF('进度计划'!$B$5:$B$47,A21,'进度计划'!$H$5:$H$47)</x:f>
        <x:v>12</x:v>
      </x:c>
      <x:c r="D21" s="54" t="n">
        <x:f>SUMIF('进度计划'!$B$5:$B$47,A21,'进度计划'!$I$5:$I$47)</x:f>
        <x:v>4.8</x:v>
      </x:c>
      <x:c r="E21" s="55" t="n">
        <x:f>IFERROR(D21/C21,0)</x:f>
        <x:v>0.39999999999999997</x:v>
      </x:c>
      <x:c r="F21" s="53" t="str">
        <x:f>IF(COUNTIFS('进度计划'!$B$5:$B$47,A21,'进度计划'!$F$5:$F$47,"阻塞")&gt;0,"外部阻塞",IF(E21=1,"已完成","进行中"))</x:f>
        <x:v>外部阻塞</x:v>
      </x:c>
      <x:c r="H21" s="62"/>
      <x:c r="I21" s="62"/>
      <x:c r="J21" s="62"/>
      <x:c r="K21" s="62"/>
      <x:c r="L21" s="62"/>
      <x:c r="M21" s="62"/>
      <x:c r="N21" s="62"/>
    </x:row>
    <x:row r="23">
      <x:c r="A23" s="58" t="str">
        <x:v>关键路径：T04 真盒基线 → B3 鉴权 → B4 任务 → B5 相册审阅 → B6 复制日志 → T41 真盒证据 → T42 签名 → T43 发布决策</x:v>
      </x:c>
      <x:c r="B23" s="58"/>
      <x:c r="C23" s="58"/>
      <x:c r="D23" s="58"/>
      <x:c r="E23" s="58"/>
      <x:c r="F23" s="58"/>
    </x:row>
    <x:row r="24">
      <x:c r="A24" s="58"/>
      <x:c r="B24" s="58"/>
      <x:c r="C24" s="58"/>
      <x:c r="D24" s="58"/>
      <x:c r="E24" s="58"/>
      <x:c r="F24" s="58"/>
    </x:row>
    <x:row r="36">
      <x:c r="H36" s="66" t="str">
        <x:v>当前结论：客户端主结构已合并，真实盒子基线、真盒 E2E、正式签名和当前树完整复跑尚未闭环，因此只允许继续联调，不允许正式发布。</x:v>
      </x:c>
      <x:c r="I36" s="66"/>
      <x:c r="J36" s="66"/>
      <x:c r="K36" s="66"/>
      <x:c r="L36" s="66"/>
      <x:c r="M36" s="66"/>
      <x:c r="N36" s="66"/>
    </x:row>
    <x:row r="37">
      <x:c r="H37" s="66"/>
      <x:c r="I37" s="66"/>
      <x:c r="J37" s="66"/>
      <x:c r="K37" s="66"/>
      <x:c r="L37" s="66"/>
      <x:c r="M37" s="66"/>
      <x:c r="N37" s="66"/>
    </x:row>
    <x:row r="38">
      <x:c r="H38" s="66"/>
      <x:c r="I38" s="66"/>
      <x:c r="J38" s="66"/>
      <x:c r="K38" s="66"/>
      <x:c r="L38" s="66"/>
      <x:c r="M38" s="66"/>
      <x:c r="N38" s="66"/>
    </x:row>
  </x:sheetData>
  <x:mergeCells>
    <x:mergeCell ref="A1:N1"/>
    <x:mergeCell ref="A2:N2"/>
    <x:mergeCell ref="A5:B5"/>
    <x:mergeCell ref="A6:B7"/>
    <x:mergeCell ref="D5:E5"/>
    <x:mergeCell ref="D6:E7"/>
    <x:mergeCell ref="G5:H5"/>
    <x:mergeCell ref="G6:H7"/>
    <x:mergeCell ref="J5:K5"/>
    <x:mergeCell ref="J6:K7"/>
    <x:mergeCell ref="A9:C9"/>
    <x:mergeCell ref="A10:C11"/>
    <x:mergeCell ref="D9:F9"/>
    <x:mergeCell ref="D10:F11"/>
    <x:mergeCell ref="G9:I9"/>
    <x:mergeCell ref="G10:I11"/>
    <x:mergeCell ref="J9:L9"/>
    <x:mergeCell ref="J10:L11"/>
    <x:mergeCell ref="A23:F24"/>
    <x:mergeCell ref="H19:N21"/>
    <x:mergeCell ref="H36:N38"/>
  </x:mergeCells>
  <x:conditionalFormatting sqref="E14:E21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F14:F21">
    <x:cfRule type="expression" dxfId="0" priority="2">
      <x:formula>$F14="已完成"</x:formula>
    </x:cfRule>
    <x:cfRule type="expression" dxfId="1" priority="3">
      <x:formula>$F14="进行中"</x:formula>
    </x:cfRule>
    <x:cfRule type="expression" dxfId="2" priority="4">
      <x:formula>$F14="外部阻塞"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12" hidden="0" customWidth="1"/>
    <x:col min="4" max="4" width="39" hidden="0" customWidth="1"/>
    <x:col min="5" max="5" width="16" hidden="0" customWidth="1"/>
    <x:col min="6" max="6" width="11" hidden="0" customWidth="1"/>
    <x:col min="7" max="7" width="10" hidden="0" customWidth="1"/>
    <x:col min="8" max="8" width="9" hidden="0" customWidth="1"/>
    <x:col min="9" max="9" width="11" hidden="0" customWidth="1"/>
    <x:col min="10" max="10" width="9" hidden="0" customWidth="1"/>
    <x:col min="11" max="11" width="12" hidden="0" customWidth="1"/>
    <x:col min="12" max="12" width="12" hidden="0" customWidth="1"/>
    <x:col min="13" max="13" width="12" hidden="0" customWidth="1"/>
    <x:col min="14" max="14" width="24" hidden="0" customWidth="1"/>
    <x:col min="15" max="15" width="18" hidden="0" customWidth="1"/>
    <x:col min="16" max="16" width="24" hidden="0" customWidth="1"/>
    <x:col min="17" max="17" width="34" hidden="0" customWidth="1"/>
    <x:col min="18" max="18" width="50" hidden="0" customWidth="1"/>
  </x:cols>
  <x:sheetData>
    <x:row r="1" ht="34" customHeight="1">
      <x:c r="A1" s="4" t="str">
        <x:v>项目合并实施进度计划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8" customHeight="1">
      <x:c r="A2" s="9" t="str">
        <x:v>绿色=已完成；黄色=进行中；红色=阻塞。修改完成度和权重后，加权进度会自动更新。计划日期为建议值。 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</x:row>
    <x:row r="4" ht="28" customHeight="1">
      <x:c r="A4" s="50" t="str">
        <x:v>ID</x:v>
      </x:c>
      <x:c r="B4" s="50" t="str">
        <x:v>批次</x:v>
      </x:c>
      <x:c r="C4" s="50" t="str">
        <x:v>工作域</x:v>
      </x:c>
      <x:c r="D4" s="50" t="str">
        <x:v>工作项</x:v>
      </x:c>
      <x:c r="E4" s="50" t="str">
        <x:v>来源</x:v>
      </x:c>
      <x:c r="F4" s="50" t="str">
        <x:v>状态</x:v>
      </x:c>
      <x:c r="G4" s="50" t="str">
        <x:v>完成度</x:v>
      </x:c>
      <x:c r="H4" s="50" t="str">
        <x:v>权重</x:v>
      </x:c>
      <x:c r="I4" s="50" t="str">
        <x:v>加权完成</x:v>
      </x:c>
      <x:c r="J4" s="50" t="str">
        <x:v>优先级</x:v>
      </x:c>
      <x:c r="K4" s="50" t="str">
        <x:v>计划开始</x:v>
      </x:c>
      <x:c r="L4" s="50" t="str">
        <x:v>计划结束</x:v>
      </x:c>
      <x:c r="M4" s="50" t="str">
        <x:v>实际完成</x:v>
      </x:c>
      <x:c r="N4" s="50" t="str">
        <x:v>Owner</x:v>
      </x:c>
      <x:c r="O4" s="50" t="str">
        <x:v>依赖</x:v>
      </x:c>
      <x:c r="P4" s="50" t="str">
        <x:v>交付物</x:v>
      </x:c>
      <x:c r="Q4" s="50" t="str">
        <x:v>验收标准</x:v>
      </x:c>
      <x:c r="R4" s="50" t="str">
        <x:v>证据 / 差距</x:v>
      </x:c>
    </x:row>
    <x:row r="5" ht="46" customHeight="1">
      <x:c r="A5" s="67" t="str">
        <x:v>T01</x:v>
      </x:c>
      <x:c r="B5" s="67" t="str">
        <x:v>B0</x:v>
      </x:c>
      <x:c r="C5" s="67" t="str">
        <x:v>基线</x:v>
      </x:c>
      <x:c r="D5" s="53" t="str">
        <x:v>确认源分支 SHA、合并分支和 App 集成 SHA</x:v>
      </x:c>
      <x:c r="E5" s="53" t="str">
        <x:v>Aves + Part2</x:v>
      </x:c>
      <x:c r="F5" s="67" t="str">
        <x:v>已完成</x:v>
      </x:c>
      <x:c r="G5" s="68" t="n">
        <x:v>1</x:v>
      </x:c>
      <x:c r="H5" s="69" t="n">
        <x:v>2</x:v>
      </x:c>
      <x:c r="I5" s="69" t="n">
        <x:f>G5*H5</x:f>
        <x:v>2</x:v>
      </x:c>
      <x:c r="J5" s="67" t="str">
        <x:v>P0</x:v>
      </x:c>
      <x:c r="K5" s="70" t="n">
        <x:v>46232.166666666664</x:v>
      </x:c>
      <x:c r="L5" s="70" t="n">
        <x:v>46232.166666666664</x:v>
      </x:c>
      <x:c r="M5" s="70" t="n">
        <x:v>46232.166666666664</x:v>
      </x:c>
      <x:c r="N5" s="53" t="str">
        <x:v>App 集成负责人</x:v>
      </x:c>
      <x:c r="O5" s="53" t="str">
        <x:v>无</x:v>
      </x:c>
      <x:c r="P5" s="53" t="str">
        <x:v>集成基线记录</x:v>
      </x:c>
      <x:c r="Q5" s="53" t="str">
        <x:v>分支、SHA、源提交可追溯</x:v>
      </x:c>
      <x:c r="R5" s="53" t="str">
        <x:v>birdbox-v1-baseline.json / git HEAD
差距：工作区仍有 155 项未提交变更，发布前需归档</x:v>
      </x:c>
    </x:row>
    <x:row r="6" ht="46" customHeight="1">
      <x:c r="A6" s="67" t="str">
        <x:v>T02</x:v>
      </x:c>
      <x:c r="B6" s="67" t="str">
        <x:v>B0</x:v>
      </x:c>
      <x:c r="C6" s="67" t="str">
        <x:v>契约</x:v>
      </x:c>
      <x:c r="D6" s="53" t="str">
        <x:v>建立 OpenAPI、JSON Schema、fixture 与 ADR</x:v>
      </x:c>
      <x:c r="E6" s="53" t="str">
        <x:v>双方共用</x:v>
      </x:c>
      <x:c r="F6" s="67" t="str">
        <x:v>已完成</x:v>
      </x:c>
      <x:c r="G6" s="68" t="n">
        <x:v>1</x:v>
      </x:c>
      <x:c r="H6" s="69" t="n">
        <x:v>4</x:v>
      </x:c>
      <x:c r="I6" s="69" t="n">
        <x:f>G6*H6</x:f>
        <x:v>4</x:v>
      </x:c>
      <x:c r="J6" s="67" t="str">
        <x:v>P0</x:v>
      </x:c>
      <x:c r="K6" s="70" t="n">
        <x:v>46232.166666666664</x:v>
      </x:c>
      <x:c r="L6" s="70" t="n">
        <x:v>46233.166666666664</x:v>
      </x:c>
      <x:c r="M6" s="70" t="n">
        <x:v>46232.166666666664</x:v>
      </x:c>
      <x:c r="N6" s="53" t="str">
        <x:v>协议 owner</x:v>
      </x:c>
      <x:c r="O6" s="53" t="str">
        <x:v>T01</x:v>
      </x:c>
      <x:c r="P6" s="53" t="str">
        <x:v>birdbox-v1@1.0.0 契约包</x:v>
      </x:c>
      <x:c r="Q6" s="53" t="str">
        <x:v>默认契约校验通过</x:v>
      </x:c>
      <x:c r="R6" s="53" t="str">
        <x:v>docs/contracts/**；ADR-001
差距：盒子端尚未签署真实基线</x:v>
      </x:c>
    </x:row>
    <x:row r="7" ht="46" customHeight="1">
      <x:c r="A7" s="67" t="str">
        <x:v>T03</x:v>
      </x:c>
      <x:c r="B7" s="67" t="str">
        <x:v>B0</x:v>
      </x:c>
      <x:c r="C7" s="67" t="str">
        <x:v>验证</x:v>
      </x:c>
      <x:c r="D7" s="53" t="str">
        <x:v>执行非严格契约验证并留存结果</x:v>
      </x:c>
      <x:c r="E7" s="53" t="str">
        <x:v>双方共用</x:v>
      </x:c>
      <x:c r="F7" s="67" t="str">
        <x:v>已完成</x:v>
      </x:c>
      <x:c r="G7" s="68" t="n">
        <x:v>1</x:v>
      </x:c>
      <x:c r="H7" s="69" t="n">
        <x:v>1</x:v>
      </x:c>
      <x:c r="I7" s="69" t="n">
        <x:f>G7*H7</x:f>
        <x:v>1</x:v>
      </x:c>
      <x:c r="J7" s="67" t="str">
        <x:v>P0</x:v>
      </x:c>
      <x:c r="K7" s="70" t="n">
        <x:v>46235.166666666664</x:v>
      </x:c>
      <x:c r="L7" s="70" t="n">
        <x:v>46235.166666666664</x:v>
      </x:c>
      <x:c r="M7" s="70" t="n">
        <x:v>46235.166666666664</x:v>
      </x:c>
      <x:c r="N7" s="53" t="str">
        <x:v>QA / 发布负责人</x:v>
      </x:c>
      <x:c r="O7" s="53" t="str">
        <x:v>T02</x:v>
      </x:c>
      <x:c r="P7" s="53" t="str">
        <x:v>契约校验记录</x:v>
      </x:c>
      <x:c r="Q7" s="53" t="str">
        <x:v>OpenAPI、refs、schema、fixture 全通过</x:v>
      </x:c>
      <x:c r="R7" s="53" t="str">
        <x:v>2026-08-01 PASS birdbox-v1@1.0.0
差距：strict-baseline 当前有 13 项外部缺失</x:v>
      </x:c>
    </x:row>
    <x:row r="8" ht="46" customHeight="1">
      <x:c r="A8" s="67" t="str">
        <x:v>T04</x:v>
      </x:c>
      <x:c r="B8" s="67" t="str">
        <x:v>B0</x:v>
      </x:c>
      <x:c r="C8" s="67" t="str">
        <x:v>外部输入</x:v>
      </x:c>
      <x:c r="D8" s="53" t="str">
        <x:v>补齐真实盒子仓库、固件、部署、数据库、联调地址与四方联系人</x:v>
      </x:c>
      <x:c r="E8" s="53" t="str">
        <x:v>盒子端</x:v>
      </x:c>
      <x:c r="F8" s="67" t="str">
        <x:v>阻塞</x:v>
      </x:c>
      <x:c r="G8" s="68" t="n">
        <x:v>0</x:v>
      </x:c>
      <x:c r="H8" s="69" t="n">
        <x:v>3</x:v>
      </x:c>
      <x:c r="I8" s="69" t="n">
        <x:f>G8*H8</x:f>
        <x:v>0</x:v>
      </x:c>
      <x:c r="J8" s="67" t="str">
        <x:v>P0</x:v>
      </x:c>
      <x:c r="K8" s="70" t="n">
        <x:v>46235.166666666664</x:v>
      </x:c>
      <x:c r="L8" s="70" t="n">
        <x:v>46238.166666666664</x:v>
      </x:c>
      <x:c r="M8" s="70"/>
      <x:c r="N8" s="53" t="str">
        <x:v>盒子 API owner / 项目负责人</x:v>
      </x:c>
      <x:c r="O8" s="53" t="str">
        <x:v>外部资料</x:v>
      </x:c>
      <x:c r="P8" s="53" t="str">
        <x:v>baseline status=ready</x:v>
      </x:c>
      <x:c r="Q8" s="53" t="str">
        <x:v>strict-baseline 通过</x:v>
      </x:c>
      <x:c r="R8" s="53" t="str">
        <x:v>当前 baseline status=blocked_external_inputs
差距：缺 13 项字段</x:v>
      </x:c>
    </x:row>
    <x:row r="9" ht="46" customHeight="1">
      <x:c r="A9" s="67" t="str">
        <x:v>T05</x:v>
      </x:c>
      <x:c r="B9" s="67" t="str">
        <x:v>B1</x:v>
      </x:c>
      <x:c r="C9" s="67" t="str">
        <x:v>入口</x:v>
      </x:c>
      <x:c r="D9" s="53" t="str">
        <x:v>lib/main.dart 统一进入 IntegratedBirdBootstrap</x:v>
      </x:c>
      <x:c r="E9" s="53" t="str">
        <x:v>双方共用</x:v>
      </x:c>
      <x:c r="F9" s="67" t="str">
        <x:v>已完成</x:v>
      </x:c>
      <x:c r="G9" s="68" t="n">
        <x:v>1</x:v>
      </x:c>
      <x:c r="H9" s="69" t="n">
        <x:v>3</x:v>
      </x:c>
      <x:c r="I9" s="69" t="n">
        <x:f>G9*H9</x:f>
        <x:v>3</x:v>
      </x:c>
      <x:c r="J9" s="67" t="str">
        <x:v>P0</x:v>
      </x:c>
      <x:c r="K9" s="70" t="n">
        <x:v>46232.166666666664</x:v>
      </x:c>
      <x:c r="L9" s="70" t="n">
        <x:v>46233.166666666664</x:v>
      </x:c>
      <x:c r="M9" s="70" t="n">
        <x:v>46232.166666666664</x:v>
      </x:c>
      <x:c r="N9" s="53" t="str">
        <x:v>App 集成负责人</x:v>
      </x:c>
      <x:c r="O9" s="53" t="str">
        <x:v>T01</x:v>
      </x:c>
      <x:c r="P9" s="53" t="str">
        <x:v>唯一生产入口</x:v>
      </x:c>
      <x:c r="Q9" s="53" t="str">
        <x:v>默认入口不引用 demo</x:v>
      </x:c>
      <x:c r="R9" s="53" t="str">
        <x:v>lib/main.dart；production_entrypoint_test.dart
差距：无</x:v>
      </x:c>
    </x:row>
    <x:row r="10" ht="46" customHeight="1">
      <x:c r="A10" s="67" t="str">
        <x:v>T06</x:v>
      </x:c>
      <x:c r="B10" s="67" t="str">
        <x:v>B1</x:v>
      </x:c>
      <x:c r="C10" s="67" t="str">
        <x:v>依赖</x:v>
      </x:c>
      <x:c r="D10" s="53" t="str">
        <x:v>统一 BirdCompanionDependencies 生命周期与全局注入</x:v>
      </x:c>
      <x:c r="E10" s="53" t="str">
        <x:v>Aves 核心 + Part2 页面</x:v>
      </x:c>
      <x:c r="F10" s="67" t="str">
        <x:v>已完成</x:v>
      </x:c>
      <x:c r="G10" s="68" t="n">
        <x:v>1</x:v>
      </x:c>
      <x:c r="H10" s="69" t="n">
        <x:v>3</x:v>
      </x:c>
      <x:c r="I10" s="69" t="n">
        <x:f>G10*H10</x:f>
        <x:v>3</x:v>
      </x:c>
      <x:c r="J10" s="67" t="str">
        <x:v>P0</x:v>
      </x:c>
      <x:c r="K10" s="70" t="n">
        <x:v>46232.166666666664</x:v>
      </x:c>
      <x:c r="L10" s="70" t="n">
        <x:v>46234.166666666664</x:v>
      </x:c>
      <x:c r="M10" s="70" t="n">
        <x:v>46232.166666666664</x:v>
      </x:c>
      <x:c r="N10" s="53" t="str">
        <x:v>公共 Flutter 核心 owner</x:v>
      </x:c>
      <x:c r="O10" s="53" t="str">
        <x:v>T05</x:v>
      </x:c>
      <x:c r="P10" s="53" t="str">
        <x:v>单一依赖图</x:v>
      </x:c>
      <x:c r="Q10" s="53" t="str">
        <x:v>REST、WS、缓存、Repository、会话仅一组实例</x:v>
      </x:c>
      <x:c r="R10" s="53" t="str">
        <x:v>app_dependencies.dart；IntegratedBirdBootstrap
差距：无</x:v>
      </x:c>
    </x:row>
    <x:row r="11" ht="46" customHeight="1">
      <x:c r="A11" s="67" t="str">
        <x:v>T07</x:v>
      </x:c>
      <x:c r="B11" s="67" t="str">
        <x:v>B1</x:v>
      </x:c>
      <x:c r="C11" s="67" t="str">
        <x:v>导航</x:v>
      </x:c>
      <x:c r="D11" s="53" t="str">
        <x:v>统一相册、处理进度、我的三 Tab 生产 Shell</x:v>
      </x:c>
      <x:c r="E11" s="53" t="str">
        <x:v>Aves + Part2</x:v>
      </x:c>
      <x:c r="F11" s="67" t="str">
        <x:v>已完成</x:v>
      </x:c>
      <x:c r="G11" s="68" t="n">
        <x:v>1</x:v>
      </x:c>
      <x:c r="H11" s="69" t="n">
        <x:v>3</x:v>
      </x:c>
      <x:c r="I11" s="69" t="n">
        <x:f>G11*H11</x:f>
        <x:v>3</x:v>
      </x:c>
      <x:c r="J11" s="67" t="str">
        <x:v>P0</x:v>
      </x:c>
      <x:c r="K11" s="70" t="n">
        <x:v>46232.166666666664</x:v>
      </x:c>
      <x:c r="L11" s="70" t="n">
        <x:v>46234.166666666664</x:v>
      </x:c>
      <x:c r="M11" s="70" t="n">
        <x:v>46232.166666666664</x:v>
      </x:c>
      <x:c r="N11" s="53" t="str">
        <x:v>App 集成负责人</x:v>
      </x:c>
      <x:c r="O11" s="53" t="str">
        <x:v>T05,T06</x:v>
      </x:c>
      <x:c r="P11" s="53" t="str">
        <x:v>BirdAppShell</x:v>
      </x:c>
      <x:c r="Q11" s="53" t="str">
        <x:v>三 Tab 均为真实 Root；跨 Tab 可带参数</x:v>
      </x:c>
      <x:c r="R11" s="53" t="str">
        <x:v>app_shell.dart
差距：无</x:v>
      </x:c>
    </x:row>
    <x:row r="12" ht="46" customHeight="1">
      <x:c r="A12" s="67" t="str">
        <x:v>T08</x:v>
      </x:c>
      <x:c r="B12" s="67" t="str">
        <x:v>B1</x:v>
      </x:c>
      <x:c r="C12" s="67" t="str">
        <x:v>演示隔离</x:v>
      </x:c>
      <x:c r="D12" s="53" t="str">
        <x:v>将 BirdDemoShell 与 DemoTaskExperienceDataSource 限制在显式 demo 入口</x:v>
      </x:c>
      <x:c r="E12" s="53" t="str">
        <x:v>Part2</x:v>
      </x:c>
      <x:c r="F12" s="67" t="str">
        <x:v>已完成</x:v>
      </x:c>
      <x:c r="G12" s="68" t="n">
        <x:v>1</x:v>
      </x:c>
      <x:c r="H12" s="69" t="n">
        <x:v>1</x:v>
      </x:c>
      <x:c r="I12" s="69" t="n">
        <x:f>G12*H12</x:f>
        <x:v>1</x:v>
      </x:c>
      <x:c r="J12" s="67" t="str">
        <x:v>P0</x:v>
      </x:c>
      <x:c r="K12" s="70" t="n">
        <x:v>46233.166666666664</x:v>
      </x:c>
      <x:c r="L12" s="70" t="n">
        <x:v>46234.166666666664</x:v>
      </x:c>
      <x:c r="M12" s="70" t="n">
        <x:v>46232.166666666664</x:v>
      </x:c>
      <x:c r="N12" s="53" t="str">
        <x:v>任务前端</x:v>
      </x:c>
      <x:c r="O12" s="53" t="str">
        <x:v>T05</x:v>
      </x:c>
      <x:c r="P12" s="53" t="str">
        <x:v>demo-only 入口与生产 ID guard</x:v>
      </x:c>
      <x:c r="Q12" s="53" t="str">
        <x:v>生产路径拒绝 demo-* ID</x:v>
      </x:c>
      <x:c r="R12" s="53" t="str">
        <x:v>main_bird_settings.dart；repository_task_experience_controller.dart
差距：演示代码仍保留，需持续防回归</x:v>
      </x:c>
    </x:row>
    <x:row r="13" ht="46" customHeight="1">
      <x:c r="A13" s="67" t="str">
        <x:v>T09</x:v>
      </x:c>
      <x:c r="B13" s="67" t="str">
        <x:v>B1</x:v>
      </x:c>
      <x:c r="C13" s="67" t="str">
        <x:v>验证</x:v>
      </x:c>
      <x:c r="D13" s="53" t="str">
        <x:v>统一入口、Shell、返回键与导航测试</x:v>
      </x:c>
      <x:c r="E13" s="53" t="str">
        <x:v>双方共用</x:v>
      </x:c>
      <x:c r="F13" s="67" t="str">
        <x:v>已完成</x:v>
      </x:c>
      <x:c r="G13" s="68" t="n">
        <x:v>1</x:v>
      </x:c>
      <x:c r="H13" s="69" t="n">
        <x:v>2</x:v>
      </x:c>
      <x:c r="I13" s="69" t="n">
        <x:f>G13*H13</x:f>
        <x:v>2</x:v>
      </x:c>
      <x:c r="J13" s="67" t="str">
        <x:v>P1</x:v>
      </x:c>
      <x:c r="K13" s="70" t="n">
        <x:v>46234.166666666664</x:v>
      </x:c>
      <x:c r="L13" s="70" t="n">
        <x:v>46235.166666666664</x:v>
      </x:c>
      <x:c r="M13" s="70" t="n">
        <x:v>46232.166666666664</x:v>
      </x:c>
      <x:c r="N13" s="53" t="str">
        <x:v>QA / 发布负责人</x:v>
      </x:c>
      <x:c r="O13" s="53" t="str">
        <x:v>T07,T08</x:v>
      </x:c>
      <x:c r="P13" s="53" t="str">
        <x:v>导航测试组</x:v>
      </x:c>
      <x:c r="Q13" s="53" t="str">
        <x:v>历史 B7 preflight 全测通过</x:v>
      </x:c>
      <x:c r="R13" s="53" t="str">
        <x:v>unified_shell_navigation_test.dart；B7 evidence
差距：2026-08-01 未完成全量 Flutter 复跑</x:v>
      </x:c>
    </x:row>
    <x:row r="14" ht="46" customHeight="1">
      <x:c r="A14" s="67" t="str">
        <x:v>T10</x:v>
      </x:c>
      <x:c r="B14" s="67" t="str">
        <x:v>B2</x:v>
      </x:c>
      <x:c r="C14" s="67" t="str">
        <x:v>模型</x:v>
      </x:c>
      <x:c r="D14" s="53" t="str">
        <x:v>统一 Job 状态、进度、来源项目、动作与错误 DTO</x:v>
      </x:c>
      <x:c r="E14" s="53" t="str">
        <x:v>双方共用</x:v>
      </x:c>
      <x:c r="F14" s="67" t="str">
        <x:v>已完成</x:v>
      </x:c>
      <x:c r="G14" s="68" t="n">
        <x:v>1</x:v>
      </x:c>
      <x:c r="H14" s="69" t="n">
        <x:v>3</x:v>
      </x:c>
      <x:c r="I14" s="69" t="n">
        <x:f>G14*H14</x:f>
        <x:v>3</x:v>
      </x:c>
      <x:c r="J14" s="67" t="str">
        <x:v>P0</x:v>
      </x:c>
      <x:c r="K14" s="70" t="n">
        <x:v>46232.166666666664</x:v>
      </x:c>
      <x:c r="L14" s="70" t="n">
        <x:v>46235.166666666664</x:v>
      </x:c>
      <x:c r="M14" s="70" t="n">
        <x:v>46232.166666666664</x:v>
      </x:c>
      <x:c r="N14" s="53" t="str">
        <x:v>公共 Flutter 核心 owner</x:v>
      </x:c>
      <x:c r="O14" s="53" t="str">
        <x:v>T02</x:v>
      </x:c>
      <x:c r="P14" s="53" t="str">
        <x:v>v1 DTO 与兼容解析</x:v>
      </x:c>
      <x:c r="Q14" s="53" t="str">
        <x:v>queued、0..1、扁平/嵌套错误均有测试</x:v>
      </x:c>
      <x:c r="R14" s="53" t="str">
        <x:v>job_models.dart；api_exception.dart；api_contract_compatibility_test.dart
差距：idle 仍保留一个兼容周期</x:v>
      </x:c>
    </x:row>
    <x:row r="15" ht="46" customHeight="1">
      <x:c r="A15" s="67" t="str">
        <x:v>T11</x:v>
      </x:c>
      <x:c r="B15" s="67" t="str">
        <x:v>B2</x:v>
      </x:c>
      <x:c r="C15" s="67" t="str">
        <x:v>审阅模型</x:v>
      </x:c>
      <x:c r="D15" s="53" t="str">
        <x:v>审阅写入改为 UserDecisionPatch 三态语义</x:v>
      </x:c>
      <x:c r="E15" s="53" t="str">
        <x:v>Aves</x:v>
      </x:c>
      <x:c r="F15" s="67" t="str">
        <x:v>已完成</x:v>
      </x:c>
      <x:c r="G15" s="68" t="n">
        <x:v>1</x:v>
      </x:c>
      <x:c r="H15" s="69" t="n">
        <x:v>2</x:v>
      </x:c>
      <x:c r="I15" s="69" t="n">
        <x:f>G15*H15</x:f>
        <x:v>2</x:v>
      </x:c>
      <x:c r="J15" s="67" t="str">
        <x:v>P0</x:v>
      </x:c>
      <x:c r="K15" s="70" t="n">
        <x:v>46233.166666666664</x:v>
      </x:c>
      <x:c r="L15" s="70" t="n">
        <x:v>46235.166666666664</x:v>
      </x:c>
      <x:c r="M15" s="70" t="n">
        <x:v>46232.166666666664</x:v>
      </x:c>
      <x:c r="N15" s="53" t="str">
        <x:v>相册 / 审阅负责人</x:v>
      </x:c>
      <x:c r="O15" s="53" t="str">
        <x:v>T02</x:v>
      </x:c>
      <x:c r="P15" s="53" t="str">
        <x:v>Patch DTO 与 diff</x:v>
      </x:c>
      <x:c r="Q15" s="53" t="str">
        <x:v>省略/空值/空数组语义可测试</x:v>
      </x:c>
      <x:c r="R15" s="53" t="str">
        <x:v>review_models.dart；user_decision_patch_test.dart
差距：需真实盒子确认 409 与 null 语义</x:v>
      </x:c>
    </x:row>
    <x:row r="16" ht="46" customHeight="1">
      <x:c r="A16" s="67" t="str">
        <x:v>T12</x:v>
      </x:c>
      <x:c r="B16" s="67" t="str">
        <x:v>B2</x:v>
      </x:c>
      <x:c r="C16" s="67" t="str">
        <x:v>缓存</x:v>
      </x:c>
      <x:c r="D16" s="53" t="str">
        <x:v>增加 Hive schema 迁移、pending quarantine 与设置存储</x:v>
      </x:c>
      <x:c r="E16" s="53" t="str">
        <x:v>双方共用</x:v>
      </x:c>
      <x:c r="F16" s="67" t="str">
        <x:v>已完成</x:v>
      </x:c>
      <x:c r="G16" s="68" t="n">
        <x:v>1</x:v>
      </x:c>
      <x:c r="H16" s="69" t="n">
        <x:v>3</x:v>
      </x:c>
      <x:c r="I16" s="69" t="n">
        <x:f>G16*H16</x:f>
        <x:v>3</x:v>
      </x:c>
      <x:c r="J16" s="67" t="str">
        <x:v>P1</x:v>
      </x:c>
      <x:c r="K16" s="70" t="n">
        <x:v>46233.166666666664</x:v>
      </x:c>
      <x:c r="L16" s="70" t="n">
        <x:v>46235.166666666664</x:v>
      </x:c>
      <x:c r="M16" s="70" t="n">
        <x:v>46232.166666666664</x:v>
      </x:c>
      <x:c r="N16" s="53" t="str">
        <x:v>公共 Flutter 核心 owner</x:v>
      </x:c>
      <x:c r="O16" s="53" t="str">
        <x:v>T10</x:v>
      </x:c>
      <x:c r="P16" s="53" t="str">
        <x:v>CacheSchemaMigrator / SettingsStore</x:v>
      </x:c>
      <x:c r="Q16" s="53" t="str">
        <x:v>旧缓存迁移不丢 pending 操作</x:v>
      </x:c>
      <x:c r="R16" s="53" t="str">
        <x:v>cache_schema_migrator.dart；cache_schema_migration_test.dart
差距：发布前仍需真机升级/降级验证</x:v>
      </x:c>
    </x:row>
    <x:row r="17" ht="46" customHeight="1">
      <x:c r="A17" s="67" t="str">
        <x:v>T13</x:v>
      </x:c>
      <x:c r="B17" s="67" t="str">
        <x:v>B2</x:v>
      </x:c>
      <x:c r="C17" s="67" t="str">
        <x:v>隔离</x:v>
      </x:c>
      <x:c r="D17" s="53" t="str">
        <x:v>相册视图、详情、媒体 identity 按设备和项目隔离</x:v>
      </x:c>
      <x:c r="E17" s="53" t="str">
        <x:v>Aves</x:v>
      </x:c>
      <x:c r="F17" s="67" t="str">
        <x:v>已完成</x:v>
      </x:c>
      <x:c r="G17" s="68" t="n">
        <x:v>1</x:v>
      </x:c>
      <x:c r="H17" s="69" t="n">
        <x:v>2</x:v>
      </x:c>
      <x:c r="I17" s="69" t="n">
        <x:f>G17*H17</x:f>
        <x:v>2</x:v>
      </x:c>
      <x:c r="J17" s="67" t="str">
        <x:v>P1</x:v>
      </x:c>
      <x:c r="K17" s="70" t="n">
        <x:v>46233.166666666664</x:v>
      </x:c>
      <x:c r="L17" s="70" t="n">
        <x:v>46235.166666666664</x:v>
      </x:c>
      <x:c r="M17" s="70" t="n">
        <x:v>46232.166666666664</x:v>
      </x:c>
      <x:c r="N17" s="53" t="str">
        <x:v>相册 / 审阅负责人</x:v>
      </x:c>
      <x:c r="O17" s="53" t="str">
        <x:v>T12</x:v>
      </x:c>
      <x:c r="P17" s="53" t="str">
        <x:v>设备命名空间缓存键</x:v>
      </x:c>
      <x:c r="Q17" s="53" t="str">
        <x:v>同 ID 跨设备不串数据</x:v>
      </x:c>
      <x:c r="R17" s="53" t="str">
        <x:v>gallery_cubit.dart；media_cache_identity.dart；相关测试
差距：需真机双设备复核</x:v>
      </x:c>
    </x:row>
    <x:row r="18" ht="46" customHeight="1">
      <x:c r="A18" s="67" t="str">
        <x:v>T14</x:v>
      </x:c>
      <x:c r="B18" s="67" t="str">
        <x:v>B2</x:v>
      </x:c>
      <x:c r="C18" s="67" t="str">
        <x:v>协议清理</x:v>
      </x:c>
      <x:c r="D18" s="53" t="str">
        <x:v>移除离线批量 payload 中 wire batch_id，仅保留 project_id</x:v>
      </x:c>
      <x:c r="E18" s="53" t="str">
        <x:v>Aves</x:v>
      </x:c>
      <x:c r="F18" s="67" t="str">
        <x:v>进行中</x:v>
      </x:c>
      <x:c r="G18" s="68" t="n">
        <x:v>0.5</x:v>
      </x:c>
      <x:c r="H18" s="69" t="n">
        <x:v>2</x:v>
      </x:c>
      <x:c r="I18" s="69" t="n">
        <x:f>G18*H18</x:f>
        <x:v>1</x:v>
      </x:c>
      <x:c r="J18" s="67" t="str">
        <x:v>P1</x:v>
      </x:c>
      <x:c r="K18" s="70" t="n">
        <x:v>46235.166666666664</x:v>
      </x:c>
      <x:c r="L18" s="70" t="n">
        <x:v>46237.166666666664</x:v>
      </x:c>
      <x:c r="M18" s="70"/>
      <x:c r="N18" s="53" t="str">
        <x:v>相册 / 审阅负责人</x:v>
      </x:c>
      <x:c r="O18" s="53" t="str">
        <x:v>T02,T12</x:v>
      </x:c>
      <x:c r="P18" s="53" t="str">
        <x:v>纯 v1 offline payload</x:v>
      </x:c>
      <x:c r="Q18" s="53" t="str">
        <x:v>严格服务端不再收到 batch_id</x:v>
      </x:c>
      <x:c r="R18" s="53" t="str">
        <x:v>当前 photo_repository_impl.dart 仍写 batch_id
差距：与 ADR-001 不一致</x:v>
      </x:c>
    </x:row>
    <x:row r="19" ht="46" customHeight="1">
      <x:c r="A19" s="67" t="str">
        <x:v>T15</x:v>
      </x:c>
      <x:c r="B19" s="67" t="str">
        <x:v>B2</x:v>
      </x:c>
      <x:c r="C19" s="67" t="str">
        <x:v>验证</x:v>
      </x:c>
      <x:c r="D19" s="53" t="str">
        <x:v>在当前工作区重新执行 B2 相关 Flutter 测试</x:v>
      </x:c>
      <x:c r="E19" s="53" t="str">
        <x:v>双方共用</x:v>
      </x:c>
      <x:c r="F19" s="67" t="str">
        <x:v>进行中</x:v>
      </x:c>
      <x:c r="G19" s="68" t="n">
        <x:v>0.8</x:v>
      </x:c>
      <x:c r="H19" s="69" t="n">
        <x:v>1</x:v>
      </x:c>
      <x:c r="I19" s="69" t="n">
        <x:f>G19*H19</x:f>
        <x:v>0.8</x:v>
      </x:c>
      <x:c r="J19" s="67" t="str">
        <x:v>P1</x:v>
      </x:c>
      <x:c r="K19" s="70" t="n">
        <x:v>46235.166666666664</x:v>
      </x:c>
      <x:c r="L19" s="70" t="n">
        <x:v>46237.166666666664</x:v>
      </x:c>
      <x:c r="M19" s="70"/>
      <x:c r="N19" s="53" t="str">
        <x:v>QA / 发布负责人</x:v>
      </x:c>
      <x:c r="O19" s="53" t="str">
        <x:v>T10-T14</x:v>
      </x:c>
      <x:c r="P19" s="53" t="str">
        <x:v>当前树测试证据</x:v>
      </x:c>
      <x:c r="Q19" s="53" t="str">
        <x:v>DTO、缓存、审阅测试通过</x:v>
      </x:c>
      <x:c r="R19" s="53" t="str">
        <x:v>历史 B7 通过；本次 Flutter 进程等待无输出后终止
差距：需空闲执行窗口</x:v>
      </x:c>
    </x:row>
    <x:row r="20" ht="46" customHeight="1">
      <x:c r="A20" s="67" t="str">
        <x:v>T16</x:v>
      </x:c>
      <x:c r="B20" s="67" t="str">
        <x:v>B3</x:v>
      </x:c>
      <x:c r="C20" s="67" t="str">
        <x:v>配对</x:v>
      </x:c>
      <x:c r="D20" s="53" t="str">
        <x:v>实现 POST /device/pair 与配对 UI</x:v>
      </x:c>
      <x:c r="E20" s="53" t="str">
        <x:v>双方共用</x:v>
      </x:c>
      <x:c r="F20" s="67" t="str">
        <x:v>已完成</x:v>
      </x:c>
      <x:c r="G20" s="68" t="n">
        <x:v>1</x:v>
      </x:c>
      <x:c r="H20" s="69" t="n">
        <x:v>2</x:v>
      </x:c>
      <x:c r="I20" s="69" t="n">
        <x:f>G20*H20</x:f>
        <x:v>2</x:v>
      </x:c>
      <x:c r="J20" s="67" t="str">
        <x:v>P0</x:v>
      </x:c>
      <x:c r="K20" s="70" t="n">
        <x:v>46233.166666666664</x:v>
      </x:c>
      <x:c r="L20" s="70" t="n">
        <x:v>46236.166666666664</x:v>
      </x:c>
      <x:c r="M20" s="70" t="n">
        <x:v>46232.166666666664</x:v>
      </x:c>
      <x:c r="N20" s="53" t="str">
        <x:v>App 网络</x:v>
      </x:c>
      <x:c r="O20" s="53" t="str">
        <x:v>T02</x:v>
      </x:c>
      <x:c r="P20" s="53" t="str">
        <x:v>PairingApi + PairingCodeForm</x:v>
      </x:c>
      <x:c r="Q20" s="53" t="str">
        <x:v>配对码换取凭据</x:v>
      </x:c>
      <x:c r="R20" s="53" t="str">
        <x:v>pairing_api.dart；pairing_code_form.dart
差距：需真实盒子协议确认</x:v>
      </x:c>
    </x:row>
    <x:row r="21" ht="46" customHeight="1">
      <x:c r="A21" s="67" t="str">
        <x:v>T17</x:v>
      </x:c>
      <x:c r="B21" s="67" t="str">
        <x:v>B3</x:v>
      </x:c>
      <x:c r="C21" s="67" t="str">
        <x:v>会话</x:v>
      </x:c>
      <x:c r="D21" s="53" t="str">
        <x:v>实现 Android Keystore 安全会话、恢复、吊销和切设备</x:v>
      </x:c>
      <x:c r="E21" s="53" t="str">
        <x:v>双方共用</x:v>
      </x:c>
      <x:c r="F21" s="67" t="str">
        <x:v>已完成</x:v>
      </x:c>
      <x:c r="G21" s="68" t="n">
        <x:v>1</x:v>
      </x:c>
      <x:c r="H21" s="69" t="n">
        <x:v>3</x:v>
      </x:c>
      <x:c r="I21" s="69" t="n">
        <x:f>G21*H21</x:f>
        <x:v>3</x:v>
      </x:c>
      <x:c r="J21" s="67" t="str">
        <x:v>P0</x:v>
      </x:c>
      <x:c r="K21" s="70" t="n">
        <x:v>46233.166666666664</x:v>
      </x:c>
      <x:c r="L21" s="70" t="n">
        <x:v>46237.166666666664</x:v>
      </x:c>
      <x:c r="M21" s="70" t="n">
        <x:v>46232.166666666664</x:v>
      </x:c>
      <x:c r="N21" s="53" t="str">
        <x:v>App 网络</x:v>
      </x:c>
      <x:c r="O21" s="53" t="str">
        <x:v>T16</x:v>
      </x:c>
      <x:c r="P21" s="53" t="str">
        <x:v>SecureSessionStore / SessionCoordinator</x:v>
      </x:c>
      <x:c r="Q21" s="53" t="str">
        <x:v>Token 不写 Hive，401/403 清会话</x:v>
      </x:c>
      <x:c r="R21" s="53" t="str">
        <x:v>secure_session_store.dart；session_coordinator.dart
差距：需目标 Android 机型复核 Keystore</x:v>
      </x:c>
    </x:row>
    <x:row r="22" ht="46" customHeight="1">
      <x:c r="A22" s="67" t="str">
        <x:v>T18</x:v>
      </x:c>
      <x:c r="B22" s="67" t="str">
        <x:v>B3</x:v>
      </x:c>
      <x:c r="C22" s="67" t="str">
        <x:v>实时鉴权</x:v>
      </x:c>
      <x:c r="D22" s="53" t="str">
        <x:v>WebSocket 携带 Bearer 与 API version，并阻断 401/403 重连</x:v>
      </x:c>
      <x:c r="E22" s="53" t="str">
        <x:v>双方共用</x:v>
      </x:c>
      <x:c r="F22" s="67" t="str">
        <x:v>已完成</x:v>
      </x:c>
      <x:c r="G22" s="68" t="n">
        <x:v>1</x:v>
      </x:c>
      <x:c r="H22" s="69" t="n">
        <x:v>2</x:v>
      </x:c>
      <x:c r="I22" s="69" t="n">
        <x:f>G22*H22</x:f>
        <x:v>2</x:v>
      </x:c>
      <x:c r="J22" s="67" t="str">
        <x:v>P0</x:v>
      </x:c>
      <x:c r="K22" s="70" t="n">
        <x:v>46234.166666666664</x:v>
      </x:c>
      <x:c r="L22" s="70" t="n">
        <x:v>46237.166666666664</x:v>
      </x:c>
      <x:c r="M22" s="70" t="n">
        <x:v>46232.166666666664</x:v>
      </x:c>
      <x:c r="N22" s="53" t="str">
        <x:v>App 网络 / 盒子安全</x:v>
      </x:c>
      <x:c r="O22" s="53" t="str">
        <x:v>T17</x:v>
      </x:c>
      <x:c r="P22" s="53" t="str">
        <x:v>Authenticated EventClient</x:v>
      </x:c>
      <x:c r="Q22" s="53" t="str">
        <x:v>WS 与 REST 共享身份</x:v>
      </x:c>
      <x:c r="R22" s="53" t="str">
        <x:v>event_client.dart
差距：真实盒子是否支持 Header 待验证</x:v>
      </x:c>
    </x:row>
    <x:row r="23" ht="46" customHeight="1">
      <x:c r="A23" s="67" t="str">
        <x:v>T19</x:v>
      </x:c>
      <x:c r="B23" s="67" t="str">
        <x:v>B3</x:v>
      </x:c>
      <x:c r="C23" s="67" t="str">
        <x:v>资源鉴权</x:v>
      </x:c>
      <x:c r="D23" s="53" t="str">
        <x:v>媒体与日志采用短时签名 URL，过期可刷新</x:v>
      </x:c>
      <x:c r="E23" s="53" t="str">
        <x:v>双方共用</x:v>
      </x:c>
      <x:c r="F23" s="67" t="str">
        <x:v>已完成</x:v>
      </x:c>
      <x:c r="G23" s="68" t="n">
        <x:v>1</x:v>
      </x:c>
      <x:c r="H23" s="69" t="n">
        <x:v>2</x:v>
      </x:c>
      <x:c r="I23" s="69" t="n">
        <x:f>G23*H23</x:f>
        <x:v>2</x:v>
      </x:c>
      <x:c r="J23" s="67" t="str">
        <x:v>P0</x:v>
      </x:c>
      <x:c r="K23" s="70" t="n">
        <x:v>46234.166666666664</x:v>
      </x:c>
      <x:c r="L23" s="70" t="n">
        <x:v>46237.166666666664</x:v>
      </x:c>
      <x:c r="M23" s="70" t="n">
        <x:v>46232.166666666664</x:v>
      </x:c>
      <x:c r="N23" s="53" t="str">
        <x:v>App 网络 / 盒子安全</x:v>
      </x:c>
      <x:c r="O23" s="53" t="str">
        <x:v>T17</x:v>
      </x:c>
      <x:c r="P23" s="53" t="str">
        <x:v>signed asset policy</x:v>
      </x:c>
      <x:c r="Q23" s="53" t="str">
        <x:v>不向跨域资源透传 Bearer</x:v>
      </x:c>
      <x:c r="R23" s="53" t="str">
        <x:v>ApiClient.downloadSignedBytes；LogDownloadService
差距：真实盒子签名时钟偏差待验证</x:v>
      </x:c>
    </x:row>
    <x:row r="24" ht="46" customHeight="1">
      <x:c r="A24" s="67" t="str">
        <x:v>T20</x:v>
      </x:c>
      <x:c r="B24" s="67" t="str">
        <x:v>B3</x:v>
      </x:c>
      <x:c r="C24" s="67" t="str">
        <x:v>mock 验证</x:v>
      </x:c>
      <x:c r="D24" s="53" t="str">
        <x:v>mock 覆盖配对、REST/WS 鉴权、吊销、签名资源</x:v>
      </x:c>
      <x:c r="E24" s="53" t="str">
        <x:v>双方共用</x:v>
      </x:c>
      <x:c r="F24" s="67" t="str">
        <x:v>已完成</x:v>
      </x:c>
      <x:c r="G24" s="68" t="n">
        <x:v>1</x:v>
      </x:c>
      <x:c r="H24" s="69" t="n">
        <x:v>2</x:v>
      </x:c>
      <x:c r="I24" s="69" t="n">
        <x:f>G24*H24</x:f>
        <x:v>2</x:v>
      </x:c>
      <x:c r="J24" s="67" t="str">
        <x:v>P1</x:v>
      </x:c>
      <x:c r="K24" s="70" t="n">
        <x:v>46235.166666666664</x:v>
      </x:c>
      <x:c r="L24" s="70" t="n">
        <x:v>46238.166666666664</x:v>
      </x:c>
      <x:c r="M24" s="70" t="n">
        <x:v>46232.166666666664</x:v>
      </x:c>
      <x:c r="N24" s="53" t="str">
        <x:v>联调 / QA</x:v>
      </x:c>
      <x:c r="O24" s="53" t="str">
        <x:v>T16-T19</x:v>
      </x:c>
      <x:c r="P24" s="53" t="str">
        <x:v>鉴权 mock 与测试</x:v>
      </x:c>
      <x:c r="Q24" s="53" t="str">
        <x:v>历史预检相关测试通过</x:v>
      </x:c>
      <x:c r="R24" s="53" t="str">
        <x:v>authentication_flow_test.dart；mock README
差距：mock 不替代真盒</x:v>
      </x:c>
    </x:row>
    <x:row r="25" ht="46" customHeight="1">
      <x:c r="A25" s="67" t="str">
        <x:v>T21</x:v>
      </x:c>
      <x:c r="B25" s="67" t="str">
        <x:v>B3</x:v>
      </x:c>
      <x:c r="C25" s="67" t="str">
        <x:v>真盒验收</x:v>
      </x:c>
      <x:c r="D25" s="53" t="str">
        <x:v>真实盒子完成配对、会话恢复/吊销、WS、图片和日志 E2E</x:v>
      </x:c>
      <x:c r="E25" s="53" t="str">
        <x:v>盒子端 + App</x:v>
      </x:c>
      <x:c r="F25" s="67" t="str">
        <x:v>阻塞</x:v>
      </x:c>
      <x:c r="G25" s="68" t="n">
        <x:v>0</x:v>
      </x:c>
      <x:c r="H25" s="69" t="n">
        <x:v>3</x:v>
      </x:c>
      <x:c r="I25" s="69" t="n">
        <x:f>G25*H25</x:f>
        <x:v>0</x:v>
      </x:c>
      <x:c r="J25" s="67" t="str">
        <x:v>P0</x:v>
      </x:c>
      <x:c r="K25" s="70" t="n">
        <x:v>46239.166666666664</x:v>
      </x:c>
      <x:c r="L25" s="70" t="n">
        <x:v>46241.166666666664</x:v>
      </x:c>
      <x:c r="M25" s="70"/>
      <x:c r="N25" s="53" t="str">
        <x:v>App 网络 / 盒子安全 / QA</x:v>
      </x:c>
      <x:c r="O25" s="53" t="str">
        <x:v>T04,T16-T20</x:v>
      </x:c>
      <x:c r="P25" s="53" t="str">
        <x:v>真盒鉴权 E2E 证据</x:v>
      </x:c>
      <x:c r="Q25" s="53" t="str">
        <x:v>六通道身份链路一致</x:v>
      </x:c>
      <x:c r="R25" s="53" t="str">
        <x:v>未提供真实盒子环境
差距：外部环境、联系人、固件缺失</x:v>
      </x:c>
    </x:row>
    <x:row r="26" ht="46" customHeight="1">
      <x:c r="A26" s="67" t="str">
        <x:v>T22</x:v>
      </x:c>
      <x:c r="B26" s="67" t="str">
        <x:v>B4</x:v>
      </x:c>
      <x:c r="C26" s="67" t="str">
        <x:v>任务 API</x:v>
      </x:c>
      <x:c r="D26" s="53" t="str">
        <x:v>补齐 SD 扫描、项目创建、导入、分析与报告端点</x:v>
      </x:c>
      <x:c r="E26" s="53" t="str">
        <x:v>Part2 + 双方共用</x:v>
      </x:c>
      <x:c r="F26" s="67" t="str">
        <x:v>已完成</x:v>
      </x:c>
      <x:c r="G26" s="68" t="n">
        <x:v>1</x:v>
      </x:c>
      <x:c r="H26" s="69" t="n">
        <x:v>4</x:v>
      </x:c>
      <x:c r="I26" s="69" t="n">
        <x:f>G26*H26</x:f>
        <x:v>4</x:v>
      </x:c>
      <x:c r="J26" s="67" t="str">
        <x:v>P0</x:v>
      </x:c>
      <x:c r="K26" s="70" t="n">
        <x:v>46233.166666666664</x:v>
      </x:c>
      <x:c r="L26" s="70" t="n">
        <x:v>46238.166666666664</x:v>
      </x:c>
      <x:c r="M26" s="70" t="n">
        <x:v>46232.166666666664</x:v>
      </x:c>
      <x:c r="N26" s="53" t="str">
        <x:v>任务前端 / 盒子任务</x:v>
      </x:c>
      <x:c r="O26" s="53" t="str">
        <x:v>T02,T10</x:v>
      </x:c>
      <x:c r="P26" s="53" t="str">
        <x:v>Storage/Batch/Job Repository 方法</x:v>
      </x:c>
      <x:c r="Q26" s="53" t="str">
        <x:v>生产控制器可取得真实 project_id/job_id</x:v>
      </x:c>
      <x:c r="R26" s="53" t="str">
        <x:v>features/storage；BatchApi.create；JobApi.createImport/createAnalysis/report
差距：盒子端实现状态未知</x:v>
      </x:c>
    </x:row>
    <x:row r="27" ht="46" customHeight="1">
      <x:c r="A27" s="67" t="str">
        <x:v>T23</x:v>
      </x:c>
      <x:c r="B27" s="67" t="str">
        <x:v>B4</x:v>
      </x:c>
      <x:c r="C27" s="67" t="str">
        <x:v>控制器</x:v>
      </x:c>
      <x:c r="D27" s="53" t="str">
        <x:v>TaskExperienceRoot 使用 RepositoryTaskExperienceController</x:v>
      </x:c>
      <x:c r="E27" s="53" t="str">
        <x:v>Part2</x:v>
      </x:c>
      <x:c r="F27" s="67" t="str">
        <x:v>已完成</x:v>
      </x:c>
      <x:c r="G27" s="68" t="n">
        <x:v>1</x:v>
      </x:c>
      <x:c r="H27" s="69" t="n">
        <x:v>3</x:v>
      </x:c>
      <x:c r="I27" s="69" t="n">
        <x:f>G27*H27</x:f>
        <x:v>3</x:v>
      </x:c>
      <x:c r="J27" s="67" t="str">
        <x:v>P0</x:v>
      </x:c>
      <x:c r="K27" s="70" t="n">
        <x:v>46234.166666666664</x:v>
      </x:c>
      <x:c r="L27" s="70" t="n">
        <x:v>46238.166666666664</x:v>
      </x:c>
      <x:c r="M27" s="70" t="n">
        <x:v>46232.166666666664</x:v>
      </x:c>
      <x:c r="N27" s="53" t="str">
        <x:v>任务前端</x:v>
      </x:c>
      <x:c r="O27" s="53" t="str">
        <x:v>T07,T22</x:v>
      </x:c>
      <x:c r="P27" s="53" t="str">
        <x:v>生产任务状态机</x:v>
      </x:c>
      <x:c r="Q27" s="53" t="str">
        <x:v>无 demo ID，写成功后才提交本地上下文</x:v>
      </x:c>
      <x:c r="R27" s="53" t="str">
        <x:v>task_experience_root.dart；repository_task_experience_controller.dart
差距：无</x:v>
      </x:c>
    </x:row>
    <x:row r="28" ht="46" customHeight="1">
      <x:c r="A28" s="67" t="str">
        <x:v>T24</x:v>
      </x:c>
      <x:c r="B28" s="67" t="str">
        <x:v>B4</x:v>
      </x:c>
      <x:c r="C28" s="67" t="str">
        <x:v>恢复</x:v>
      </x:c>
      <x:c r="D28" s="53" t="str">
        <x:v>WS 完整事件更新；不可用时 4 秒轮询并恢复权威状态</x:v>
      </x:c>
      <x:c r="E28" s="53" t="str">
        <x:v>双方共用</x:v>
      </x:c>
      <x:c r="F28" s="67" t="str">
        <x:v>已完成</x:v>
      </x:c>
      <x:c r="G28" s="68" t="n">
        <x:v>1</x:v>
      </x:c>
      <x:c r="H28" s="69" t="n">
        <x:v>2</x:v>
      </x:c>
      <x:c r="I28" s="69" t="n">
        <x:f>G28*H28</x:f>
        <x:v>2</x:v>
      </x:c>
      <x:c r="J28" s="67" t="str">
        <x:v>P1</x:v>
      </x:c>
      <x:c r="K28" s="70" t="n">
        <x:v>46235.166666666664</x:v>
      </x:c>
      <x:c r="L28" s="70" t="n">
        <x:v>46238.166666666664</x:v>
      </x:c>
      <x:c r="M28" s="70" t="n">
        <x:v>46232.166666666664</x:v>
      </x:c>
      <x:c r="N28" s="53" t="str">
        <x:v>任务前端 / App 网络</x:v>
      </x:c>
      <x:c r="O28" s="53" t="str">
        <x:v>T18,T23</x:v>
      </x:c>
      <x:c r="P28" s="53" t="str">
        <x:v>事件与轮询恢复逻辑</x:v>
      </x:c>
      <x:c r="Q28" s="53" t="str">
        <x:v>断线不伪造任务，重连重新 GET</x:v>
      </x:c>
      <x:c r="R28" s="53" t="str">
        <x:v>RepositoryTaskExperienceController._configurePolling
差距：真盒事件完整性待验证</x:v>
      </x:c>
    </x:row>
    <x:row r="29" ht="46" customHeight="1">
      <x:c r="A29" s="67" t="str">
        <x:v>T25</x:v>
      </x:c>
      <x:c r="B29" s="67" t="str">
        <x:v>B4</x:v>
      </x:c>
      <x:c r="C29" s="67" t="str">
        <x:v>mock</x:v>
      </x:c>
      <x:c r="D29" s="53" t="str">
        <x:v>mock 支持项目/任务/报告、幂等重放与可选持久化</x:v>
      </x:c>
      <x:c r="E29" s="53" t="str">
        <x:v>双方共用</x:v>
      </x:c>
      <x:c r="F29" s="67" t="str">
        <x:v>已完成</x:v>
      </x:c>
      <x:c r="G29" s="68" t="n">
        <x:v>1</x:v>
      </x:c>
      <x:c r="H29" s="69" t="n">
        <x:v>2</x:v>
      </x:c>
      <x:c r="I29" s="69" t="n">
        <x:f>G29*H29</x:f>
        <x:v>2</x:v>
      </x:c>
      <x:c r="J29" s="67" t="str">
        <x:v>P1</x:v>
      </x:c>
      <x:c r="K29" s="70" t="n">
        <x:v>46235.166666666664</x:v>
      </x:c>
      <x:c r="L29" s="70" t="n">
        <x:v>46239.166666666664</x:v>
      </x:c>
      <x:c r="M29" s="70" t="n">
        <x:v>46232.166666666664</x:v>
      </x:c>
      <x:c r="N29" s="53" t="str">
        <x:v>联调 / QA</x:v>
      </x:c>
      <x:c r="O29" s="53" t="str">
        <x:v>T22</x:v>
      </x:c>
      <x:c r="P29" s="53" t="str">
        <x:v>B4/B7 mock 能力</x:v>
      </x:c>
      <x:c r="Q29" s="53" t="str">
        <x:v>并发同键只执行一次，重启可恢复</x:v>
      </x:c>
      <x:c r="R29" s="53" t="str">
        <x:v>mock_box_server_test.dart；mock README
差距：状态文件不是正式数据库</x:v>
      </x:c>
    </x:row>
    <x:row r="30" ht="46" customHeight="1">
      <x:c r="A30" s="67" t="str">
        <x:v>T26</x:v>
      </x:c>
      <x:c r="B30" s="67" t="str">
        <x:v>B4</x:v>
      </x:c>
      <x:c r="C30" s="67" t="str">
        <x:v>真盒验收</x:v>
      </x:c>
      <x:c r="D30" s="53" t="str">
        <x:v>真实盒子扫描→建项目→导入→分析→杀 App→恢复同一任务</x:v>
      </x:c>
      <x:c r="E30" s="53" t="str">
        <x:v>盒子端 + App</x:v>
      </x:c>
      <x:c r="F30" s="67" t="str">
        <x:v>阻塞</x:v>
      </x:c>
      <x:c r="G30" s="68" t="n">
        <x:v>0</x:v>
      </x:c>
      <x:c r="H30" s="69" t="n">
        <x:v>3</x:v>
      </x:c>
      <x:c r="I30" s="69" t="n">
        <x:f>G30*H30</x:f>
        <x:v>0</x:v>
      </x:c>
      <x:c r="J30" s="67" t="str">
        <x:v>P0</x:v>
      </x:c>
      <x:c r="K30" s="70" t="n">
        <x:v>46241.166666666664</x:v>
      </x:c>
      <x:c r="L30" s="70" t="n">
        <x:v>46244.166666666664</x:v>
      </x:c>
      <x:c r="M30" s="70"/>
      <x:c r="N30" s="53" t="str">
        <x:v>任务前端 / 盒子任务 / QA</x:v>
      </x:c>
      <x:c r="O30" s="53" t="str">
        <x:v>T04,T21-T25</x:v>
      </x:c>
      <x:c r="P30" s="53" t="str">
        <x:v>任务 E2E 证据</x:v>
      </x:c>
      <x:c r="Q30" s="53" t="str">
        <x:v>真实 project_id/job_id 全流程可恢复</x:v>
      </x:c>
      <x:c r="R30" s="53" t="str">
        <x:v>尚无真盒证据
差距：真实盒子与数据库信息缺失</x:v>
      </x:c>
    </x:row>
    <x:row r="31" ht="46" customHeight="1">
      <x:c r="A31" s="67" t="str">
        <x:v>T27</x:v>
      </x:c>
      <x:c r="B31" s="67" t="str">
        <x:v>B5</x:v>
      </x:c>
      <x:c r="C31" s="67" t="str">
        <x:v>上下文</x:v>
      </x:c>
      <x:c r="D31" s="53" t="str">
        <x:v>任务分析完成携带 project_id 切到相册并打开 GalleryArgs</x:v>
      </x:c>
      <x:c r="E31" s="53" t="str">
        <x:v>Aves + Part2</x:v>
      </x:c>
      <x:c r="F31" s="67" t="str">
        <x:v>已完成</x:v>
      </x:c>
      <x:c r="G31" s="68" t="n">
        <x:v>1</x:v>
      </x:c>
      <x:c r="H31" s="69" t="n">
        <x:v>2</x:v>
      </x:c>
      <x:c r="I31" s="69" t="n">
        <x:f>G31*H31</x:f>
        <x:v>2</x:v>
      </x:c>
      <x:c r="J31" s="67" t="str">
        <x:v>P0</x:v>
      </x:c>
      <x:c r="K31" s="70" t="n">
        <x:v>46234.166666666664</x:v>
      </x:c>
      <x:c r="L31" s="70" t="n">
        <x:v>46238.166666666664</x:v>
      </x:c>
      <x:c r="M31" s="70" t="n">
        <x:v>46232.166666666664</x:v>
      </x:c>
      <x:c r="N31" s="53" t="str">
        <x:v>App 集成负责人</x:v>
      </x:c>
      <x:c r="O31" s="53" t="str">
        <x:v>T07,T23</x:v>
      </x:c>
      <x:c r="P31" s="53" t="str">
        <x:v>跨 Tab project_id 路由</x:v>
      </x:c>
      <x:c r="Q31" s="53" t="str">
        <x:v>不依赖当前项目猜测</x:v>
      </x:c>
      <x:c r="R31" s="53" t="str">
        <x:v>TaskExperienceRoot.onOpenGallery；BirdAppShell._openTabRoute
差距：无</x:v>
      </x:c>
    </x:row>
    <x:row r="32" ht="46" customHeight="1">
      <x:c r="A32" s="67" t="str">
        <x:v>T28</x:v>
      </x:c>
      <x:c r="B32" s="67" t="str">
        <x:v>B5</x:v>
      </x:c>
      <x:c r="C32" s="67" t="str">
        <x:v>相册审阅</x:v>
      </x:c>
      <x:c r="D32" s="53" t="str">
        <x:v>真实 Album/Gallery/Detail/Group/Comparison/Review 页面进入统一 Shell</x:v>
      </x:c>
      <x:c r="E32" s="53" t="str">
        <x:v>Aves</x:v>
      </x:c>
      <x:c r="F32" s="67" t="str">
        <x:v>已完成</x:v>
      </x:c>
      <x:c r="G32" s="68" t="n">
        <x:v>1</x:v>
      </x:c>
      <x:c r="H32" s="69" t="n">
        <x:v>3</x:v>
      </x:c>
      <x:c r="I32" s="69" t="n">
        <x:f>G32*H32</x:f>
        <x:v>3</x:v>
      </x:c>
      <x:c r="J32" s="67" t="str">
        <x:v>P0</x:v>
      </x:c>
      <x:c r="K32" s="70" t="n">
        <x:v>46232.166666666664</x:v>
      </x:c>
      <x:c r="L32" s="70" t="n">
        <x:v>46238.166666666664</x:v>
      </x:c>
      <x:c r="M32" s="70" t="n">
        <x:v>46232.166666666664</x:v>
      </x:c>
      <x:c r="N32" s="53" t="str">
        <x:v>相册 / 审阅负责人</x:v>
      </x:c>
      <x:c r="O32" s="53" t="str">
        <x:v>T07,T27</x:v>
      </x:c>
      <x:c r="P32" s="53" t="str">
        <x:v>相册审阅生产链路</x:v>
      </x:c>
      <x:c r="Q32" s="53" t="str">
        <x:v>不显示占位相册</x:v>
      </x:c>
      <x:c r="R32" s="53" t="str">
        <x:v>AlbumHomePage；features/gallery；features/review
差距：真盒媒体多样性未验证</x:v>
      </x:c>
    </x:row>
    <x:row r="33" ht="46" customHeight="1">
      <x:c r="A33" s="67" t="str">
        <x:v>T29</x:v>
      </x:c>
      <x:c r="B33" s="67" t="str">
        <x:v>B5</x:v>
      </x:c>
      <x:c r="C33" s="67" t="str">
        <x:v>离线冲突</x:v>
      </x:c>
      <x:c r="D33" s="53" t="str">
        <x:v>离线审阅/批量操作入队、幂等重放、409 冲突处理</x:v>
      </x:c>
      <x:c r="E33" s="53" t="str">
        <x:v>Aves</x:v>
      </x:c>
      <x:c r="F33" s="67" t="str">
        <x:v>已完成</x:v>
      </x:c>
      <x:c r="G33" s="68" t="n">
        <x:v>1</x:v>
      </x:c>
      <x:c r="H33" s="69" t="n">
        <x:v>3</x:v>
      </x:c>
      <x:c r="I33" s="69" t="n">
        <x:f>G33*H33</x:f>
        <x:v>3</x:v>
      </x:c>
      <x:c r="J33" s="67" t="str">
        <x:v>P0</x:v>
      </x:c>
      <x:c r="K33" s="70" t="n">
        <x:v>46233.166666666664</x:v>
      </x:c>
      <x:c r="L33" s="70" t="n">
        <x:v>46239.166666666664</x:v>
      </x:c>
      <x:c r="M33" s="70" t="n">
        <x:v>46232.166666666664</x:v>
      </x:c>
      <x:c r="N33" s="53" t="str">
        <x:v>相册 / 审阅负责人</x:v>
      </x:c>
      <x:c r="O33" s="53" t="str">
        <x:v>T11-T13</x:v>
      </x:c>
      <x:c r="P33" s="53" t="str">
        <x:v>BirdSyncService + 冲突 UI</x:v>
      </x:c>
      <x:c r="Q33" s="53" t="str">
        <x:v>成功删除队列；409 不静默覆盖</x:v>
      </x:c>
      <x:c r="R33" s="53" t="str">
        <x:v>bird_sync_service.dart；offline_sync_test.dart
差距：T14 字段漂移待清理</x:v>
      </x:c>
    </x:row>
    <x:row r="34" ht="46" customHeight="1">
      <x:c r="A34" s="67" t="str">
        <x:v>T30</x:v>
      </x:c>
      <x:c r="B34" s="67" t="str">
        <x:v>B5</x:v>
      </x:c>
      <x:c r="C34" s="67" t="str">
        <x:v>隔离验证</x:v>
      </x:c>
      <x:c r="D34" s="53" t="str">
        <x:v>双设备同 project_id/file_id 缓存与断点不串号</x:v>
      </x:c>
      <x:c r="E34" s="53" t="str">
        <x:v>Aves</x:v>
      </x:c>
      <x:c r="F34" s="67" t="str">
        <x:v>已完成</x:v>
      </x:c>
      <x:c r="G34" s="68" t="n">
        <x:v>1</x:v>
      </x:c>
      <x:c r="H34" s="69" t="n">
        <x:v>2</x:v>
      </x:c>
      <x:c r="I34" s="69" t="n">
        <x:f>G34*H34</x:f>
        <x:v>2</x:v>
      </x:c>
      <x:c r="J34" s="67" t="str">
        <x:v>P1</x:v>
      </x:c>
      <x:c r="K34" s="70" t="n">
        <x:v>46235.166666666664</x:v>
      </x:c>
      <x:c r="L34" s="70" t="n">
        <x:v>46239.166666666664</x:v>
      </x:c>
      <x:c r="M34" s="70" t="n">
        <x:v>46232.166666666664</x:v>
      </x:c>
      <x:c r="N34" s="53" t="str">
        <x:v>相册 / 审阅负责人 / QA</x:v>
      </x:c>
      <x:c r="O34" s="53" t="str">
        <x:v>T13,T29</x:v>
      </x:c>
      <x:c r="P34" s="53" t="str">
        <x:v>多设备隔离测试</x:v>
      </x:c>
      <x:c r="Q34" s="53" t="str">
        <x:v>缓存 key 与 media identity 隔离</x:v>
      </x:c>
      <x:c r="R34" s="53" t="str">
        <x:v>album_view_cache_key_test.dart；media_cache_identity_test.dart
差距：需双真盒复核</x:v>
      </x:c>
    </x:row>
    <x:row r="35" ht="46" customHeight="1">
      <x:c r="A35" s="67" t="str">
        <x:v>T31</x:v>
      </x:c>
      <x:c r="B35" s="67" t="str">
        <x:v>B5</x:v>
      </x:c>
      <x:c r="C35" s="67" t="str">
        <x:v>真盒验收</x:v>
      </x:c>
      <x:c r="D35" s="53" t="str">
        <x:v>真盒相册、审阅、离线重放、409 冲突和双设备验证</x:v>
      </x:c>
      <x:c r="E35" s="53" t="str">
        <x:v>盒子端 + App</x:v>
      </x:c>
      <x:c r="F35" s="67" t="str">
        <x:v>阻塞</x:v>
      </x:c>
      <x:c r="G35" s="68" t="n">
        <x:v>0</x:v>
      </x:c>
      <x:c r="H35" s="69" t="n">
        <x:v>3</x:v>
      </x:c>
      <x:c r="I35" s="69" t="n">
        <x:f>G35*H35</x:f>
        <x:v>0</x:v>
      </x:c>
      <x:c r="J35" s="67" t="str">
        <x:v>P0</x:v>
      </x:c>
      <x:c r="K35" s="70" t="n">
        <x:v>46243.166666666664</x:v>
      </x:c>
      <x:c r="L35" s="70" t="n">
        <x:v>46245.166666666664</x:v>
      </x:c>
      <x:c r="M35" s="70"/>
      <x:c r="N35" s="53" t="str">
        <x:v>相册 / 审阅负责人 / QA</x:v>
      </x:c>
      <x:c r="O35" s="53" t="str">
        <x:v>T04,T21,T26-T30</x:v>
      </x:c>
      <x:c r="P35" s="53" t="str">
        <x:v>真盒相册审阅证据</x:v>
      </x:c>
      <x:c r="Q35" s="53" t="str">
        <x:v>完整照片链路与冲突闭环</x:v>
      </x:c>
      <x:c r="R35" s="53" t="str">
        <x:v>未提供真盒数据集
差距：盒子环境与脱敏真实照片缺失</x:v>
      </x:c>
    </x:row>
    <x:row r="36" ht="46" customHeight="1">
      <x:c r="A36" s="67" t="str">
        <x:v>T32</x:v>
      </x:c>
      <x:c r="B36" s="67" t="str">
        <x:v>B6</x:v>
      </x:c>
      <x:c r="C36" s="67" t="str">
        <x:v>复制任务</x:v>
      </x:c>
      <x:c r="D36" s="53" t="str">
        <x:v>复制估算、创建、进度、失败项和报告接入 Repository</x:v>
      </x:c>
      <x:c r="E36" s="53" t="str">
        <x:v>Aves + Part2</x:v>
      </x:c>
      <x:c r="F36" s="67" t="str">
        <x:v>已完成</x:v>
      </x:c>
      <x:c r="G36" s="68" t="n">
        <x:v>1</x:v>
      </x:c>
      <x:c r="H36" s="69" t="n">
        <x:v>3</x:v>
      </x:c>
      <x:c r="I36" s="69" t="n">
        <x:f>G36*H36</x:f>
        <x:v>3</x:v>
      </x:c>
      <x:c r="J36" s="67" t="str">
        <x:v>P0</x:v>
      </x:c>
      <x:c r="K36" s="70" t="n">
        <x:v>46235.166666666664</x:v>
      </x:c>
      <x:c r="L36" s="70" t="n">
        <x:v>46241.166666666664</x:v>
      </x:c>
      <x:c r="M36" s="70" t="n">
        <x:v>46232.166666666664</x:v>
      </x:c>
      <x:c r="N36" s="53" t="str">
        <x:v>任务 / 设置负责人</x:v>
      </x:c>
      <x:c r="O36" s="53" t="str">
        <x:v>T22,T27,T29</x:v>
      </x:c>
      <x:c r="P36" s="53" t="str">
        <x:v>复制后半链路</x:v>
      </x:c>
      <x:c r="Q36" s="53" t="str">
        <x:v>mode/target/xmp/verify/version 由服务端约束</x:v>
      </x:c>
      <x:c r="R36" s="53" t="str">
        <x:v>CopyApi；CopyConfirmationCubit；ProductionTaskResultPage
差距：真盒目标盘错误场景未验</x:v>
      </x:c>
    </x:row>
    <x:row r="37" ht="46" customHeight="1">
      <x:c r="A37" s="67" t="str">
        <x:v>T33</x:v>
      </x:c>
      <x:c r="B37" s="67" t="str">
        <x:v>B6</x:v>
      </x:c>
      <x:c r="C37" s="67" t="str">
        <x:v>日志</x:v>
      </x:c>
      <x:c r="D37" s="53" t="str">
        <x:v>任务与系统日志页导出并下载短签名诊断包</x:v>
      </x:c>
      <x:c r="E37" s="53" t="str">
        <x:v>双方共用</x:v>
      </x:c>
      <x:c r="F37" s="67" t="str">
        <x:v>已完成</x:v>
      </x:c>
      <x:c r="G37" s="68" t="n">
        <x:v>1</x:v>
      </x:c>
      <x:c r="H37" s="69" t="n">
        <x:v>2</x:v>
      </x:c>
      <x:c r="I37" s="69" t="n">
        <x:f>G37*H37</x:f>
        <x:v>2</x:v>
      </x:c>
      <x:c r="J37" s="67" t="str">
        <x:v>P0</x:v>
      </x:c>
      <x:c r="K37" s="70" t="n">
        <x:v>46235.166666666664</x:v>
      </x:c>
      <x:c r="L37" s="70" t="n">
        <x:v>46241.166666666664</x:v>
      </x:c>
      <x:c r="M37" s="70" t="n">
        <x:v>46232.166666666664</x:v>
      </x:c>
      <x:c r="N37" s="53" t="str">
        <x:v>任务 / 设置负责人</x:v>
      </x:c>
      <x:c r="O37" s="53" t="str">
        <x:v>T19,T22</x:v>
      </x:c>
      <x:c r="P37" s="53" t="str">
        <x:v>日志生成与刷新下载</x:v>
      </x:c>
      <x:c r="Q37" s="53" t="str">
        <x:v>文件非空；签名过期可重新申请</x:v>
      </x:c>
      <x:c r="R37" s="53" t="str">
        <x:v>SystemLogsPage；TaskExperienceRoot._exportTaskLog；LogDownloadService
差距：真盒日志格式与权限未验</x:v>
      </x:c>
    </x:row>
    <x:row r="38" ht="46" customHeight="1">
      <x:c r="A38" s="67" t="str">
        <x:v>T34</x:v>
      </x:c>
      <x:c r="B38" s="67" t="str">
        <x:v>B6</x:v>
      </x:c>
      <x:c r="C38" s="67" t="str">
        <x:v>设置</x:v>
      </x:c>
      <x:c r="D38" s="53" t="str">
        <x:v>设置持久化、设备管理与设备事实状态接入共享依赖</x:v>
      </x:c>
      <x:c r="E38" s="53" t="str">
        <x:v>Part2</x:v>
      </x:c>
      <x:c r="F38" s="67" t="str">
        <x:v>已完成</x:v>
      </x:c>
      <x:c r="G38" s="68" t="n">
        <x:v>1</x:v>
      </x:c>
      <x:c r="H38" s="69" t="n">
        <x:v>2</x:v>
      </x:c>
      <x:c r="I38" s="69" t="n">
        <x:f>G38*H38</x:f>
        <x:v>2</x:v>
      </x:c>
      <x:c r="J38" s="67" t="str">
        <x:v>P1</x:v>
      </x:c>
      <x:c r="K38" s="70" t="n">
        <x:v>46235.166666666664</x:v>
      </x:c>
      <x:c r="L38" s="70" t="n">
        <x:v>46241.166666666664</x:v>
      </x:c>
      <x:c r="M38" s="70" t="n">
        <x:v>46232.166666666664</x:v>
      </x:c>
      <x:c r="N38" s="53" t="str">
        <x:v>任务 / 设置负责人</x:v>
      </x:c>
      <x:c r="O38" s="53" t="str">
        <x:v>T06,T12</x:v>
      </x:c>
      <x:c r="P38" s="53" t="str">
        <x:v>SettingsExperienceRoot + SettingsStore</x:v>
      </x:c>
      <x:c r="Q38" s="53" t="str">
        <x:v>重启保留偏好；设备状态来自 Repository</x:v>
      </x:c>
      <x:c r="R38" s="53" t="str">
        <x:v>settings_experience_root.dart；settings_store.dart
差距：真机重启与多用户策略待验</x:v>
      </x:c>
    </x:row>
    <x:row r="39" ht="46" customHeight="1">
      <x:c r="A39" s="67" t="str">
        <x:v>T35</x:v>
      </x:c>
      <x:c r="B39" s="67" t="str">
        <x:v>B6</x:v>
      </x:c>
      <x:c r="C39" s="67" t="str">
        <x:v>一致性</x:v>
      </x:c>
      <x:c r="D39" s="53" t="str">
        <x:v>设备状态页控制任务时补 version，或统一复用 JobRepository.control</x:v>
      </x:c>
      <x:c r="E39" s="53" t="str">
        <x:v>双方共用</x:v>
      </x:c>
      <x:c r="F39" s="67" t="str">
        <x:v>进行中</x:v>
      </x:c>
      <x:c r="G39" s="68" t="n">
        <x:v>0.5</x:v>
      </x:c>
      <x:c r="H39" s="69" t="n">
        <x:v>1</x:v>
      </x:c>
      <x:c r="I39" s="69" t="n">
        <x:f>G39*H39</x:f>
        <x:v>0.5</x:v>
      </x:c>
      <x:c r="J39" s="67" t="str">
        <x:v>P1</x:v>
      </x:c>
      <x:c r="K39" s="70" t="n">
        <x:v>46235.166666666664</x:v>
      </x:c>
      <x:c r="L39" s="70" t="n">
        <x:v>46237.166666666664</x:v>
      </x:c>
      <x:c r="M39" s="70"/>
      <x:c r="N39" s="53" t="str">
        <x:v>公共 Flutter 核心 owner</x:v>
      </x:c>
      <x:c r="O39" s="53" t="str">
        <x:v>T10,T32</x:v>
      </x:c>
      <x:c r="P39" s="53" t="str">
        <x:v>统一任务控制语义</x:v>
      </x:c>
      <x:c r="Q39" s="53" t="str">
        <x:v>所有 actions 请求均携带服务端版本</x:v>
      </x:c>
      <x:c r="R39" s="53" t="str">
        <x:v>DeviceStatusApi 当前 body 只有 action；JobApi 已带 version
差距：存在 409/并发覆盖风险</x:v>
      </x:c>
    </x:row>
    <x:row r="40" ht="46" customHeight="1">
      <x:c r="A40" s="67" t="str">
        <x:v>T36</x:v>
      </x:c>
      <x:c r="B40" s="67" t="str">
        <x:v>B6</x:v>
      </x:c>
      <x:c r="C40" s="67" t="str">
        <x:v>维护性</x:v>
      </x:c>
      <x:c r="D40" s="53" t="str">
        <x:v>明确 TaskExperienceRoot 与 JobCenterPage 的单一产品入口和复用边界</x:v>
      </x:c>
      <x:c r="E40" s="53" t="str">
        <x:v>Aves + Part2</x:v>
      </x:c>
      <x:c r="F40" s="67" t="str">
        <x:v>进行中</x:v>
      </x:c>
      <x:c r="G40" s="68" t="n">
        <x:v>0.25</x:v>
      </x:c>
      <x:c r="H40" s="69" t="n">
        <x:v>1</x:v>
      </x:c>
      <x:c r="I40" s="69" t="n">
        <x:f>G40*H40</x:f>
        <x:v>0.25</x:v>
      </x:c>
      <x:c r="J40" s="67" t="str">
        <x:v>P2</x:v>
      </x:c>
      <x:c r="K40" s="70" t="n">
        <x:v>46237.166666666664</x:v>
      </x:c>
      <x:c r="L40" s="70" t="n">
        <x:v>46240.166666666664</x:v>
      </x:c>
      <x:c r="M40" s="70"/>
      <x:c r="N40" s="53" t="str">
        <x:v>App 集成负责人</x:v>
      </x:c>
      <x:c r="O40" s="53" t="str">
        <x:v>T07,T23,T32</x:v>
      </x:c>
      <x:c r="P40" s="53" t="str">
        <x:v>任务展示架构决议</x:v>
      </x:c>
      <x:c r="Q40" s="53" t="str">
        <x:v>同一业务状态不维护两套交互逻辑</x:v>
      </x:c>
      <x:c r="R40" s="53" t="str">
        <x:v>两条 UI 路径共享 JobRepository
差距：长期维护与行为分叉风险</x:v>
      </x:c>
    </x:row>
    <x:row r="41" ht="46" customHeight="1">
      <x:c r="A41" s="67" t="str">
        <x:v>T37</x:v>
      </x:c>
      <x:c r="B41" s="67" t="str">
        <x:v>B6</x:v>
      </x:c>
      <x:c r="C41" s="67" t="str">
        <x:v>真盒验收</x:v>
      </x:c>
      <x:c r="D41" s="53" t="str">
        <x:v>真盒复制、失败项、报告、日志和设置重启闭环</x:v>
      </x:c>
      <x:c r="E41" s="53" t="str">
        <x:v>盒子端 + App</x:v>
      </x:c>
      <x:c r="F41" s="67" t="str">
        <x:v>阻塞</x:v>
      </x:c>
      <x:c r="G41" s="68" t="n">
        <x:v>0</x:v>
      </x:c>
      <x:c r="H41" s="69" t="n">
        <x:v>3</x:v>
      </x:c>
      <x:c r="I41" s="69" t="n">
        <x:f>G41*H41</x:f>
        <x:v>0</x:v>
      </x:c>
      <x:c r="J41" s="67" t="str">
        <x:v>P0</x:v>
      </x:c>
      <x:c r="K41" s="70" t="n">
        <x:v>46245.166666666664</x:v>
      </x:c>
      <x:c r="L41" s="70" t="n">
        <x:v>46247.166666666664</x:v>
      </x:c>
      <x:c r="M41" s="70"/>
      <x:c r="N41" s="53" t="str">
        <x:v>任务 / 设置负责人 / QA</x:v>
      </x:c>
      <x:c r="O41" s="53" t="str">
        <x:v>T04,T21,T26,T31-T36</x:v>
      </x:c>
      <x:c r="P41" s="53" t="str">
        <x:v>后半链路 E2E 证据</x:v>
      </x:c>
      <x:c r="Q41" s="53" t="str">
        <x:v>空间不足/离线目标/失败项/日志均通过</x:v>
      </x:c>
      <x:c r="R41" s="53" t="str">
        <x:v>尚无真实盒子证据
差距：盒子、目标盘与日志权限信息缺失</x:v>
      </x:c>
    </x:row>
    <x:row r="42" ht="46" customHeight="1">
      <x:c r="A42" s="67" t="str">
        <x:v>T38</x:v>
      </x:c>
      <x:c r="B42" s="67" t="str">
        <x:v>B7</x:v>
      </x:c>
      <x:c r="C42" s="67" t="str">
        <x:v>门禁实现</x:v>
      </x:c>
      <x:c r="D42" s="53" t="str">
        <x:v>扩充 mock、契约校验、生产完整性和 B7 门禁脚本</x:v>
      </x:c>
      <x:c r="E42" s="53" t="str">
        <x:v>双方共用</x:v>
      </x:c>
      <x:c r="F42" s="67" t="str">
        <x:v>已完成</x:v>
      </x:c>
      <x:c r="G42" s="68" t="n">
        <x:v>1</x:v>
      </x:c>
      <x:c r="H42" s="69" t="n">
        <x:v>3</x:v>
      </x:c>
      <x:c r="I42" s="69" t="n">
        <x:f>G42*H42</x:f>
        <x:v>3</x:v>
      </x:c>
      <x:c r="J42" s="67" t="str">
        <x:v>P0</x:v>
      </x:c>
      <x:c r="K42" s="70" t="n">
        <x:v>46232.166666666664</x:v>
      </x:c>
      <x:c r="L42" s="70" t="n">
        <x:v>46242.166666666664</x:v>
      </x:c>
      <x:c r="M42" s="70" t="n">
        <x:v>46232.166666666664</x:v>
      </x:c>
      <x:c r="N42" s="53" t="str">
        <x:v>QA / 发布负责人</x:v>
      </x:c>
      <x:c r="O42" s="53" t="str">
        <x:v>T02,T05,T25</x:v>
      </x:c>
      <x:c r="P42" s="53" t="str">
        <x:v>run_b7_gate.ps1 与 mock 能力</x:v>
      </x:c>
      <x:c r="Q42" s="53" t="str">
        <x:v>同一入口收集格式/契约/测试/构建证据</x:v>
      </x:c>
      <x:c r="R42" s="53" t="str">
        <x:v>tool/release；tool/mock_box_server
差距：Release 模式外部输入尚未满足</x:v>
      </x:c>
    </x:row>
    <x:row r="43" ht="46" customHeight="1">
      <x:c r="A43" s="67" t="str">
        <x:v>T39</x:v>
      </x:c>
      <x:c r="B43" s="67" t="str">
        <x:v>B7</x:v>
      </x:c>
      <x:c r="C43" s="67" t="str">
        <x:v>历史预检</x:v>
      </x:c>
      <x:c r="D43" s="53" t="str">
        <x:v>保留 2026-07-29 B7 Preflight 通过证据</x:v>
      </x:c>
      <x:c r="E43" s="53" t="str">
        <x:v>双方共用</x:v>
      </x:c>
      <x:c r="F43" s="67" t="str">
        <x:v>已完成</x:v>
      </x:c>
      <x:c r="G43" s="68" t="n">
        <x:v>1</x:v>
      </x:c>
      <x:c r="H43" s="69" t="n">
        <x:v>1</x:v>
      </x:c>
      <x:c r="I43" s="69" t="n">
        <x:f>G43*H43</x:f>
        <x:v>1</x:v>
      </x:c>
      <x:c r="J43" s="67" t="str">
        <x:v>P1</x:v>
      </x:c>
      <x:c r="K43" s="70" t="n">
        <x:v>46232.166666666664</x:v>
      </x:c>
      <x:c r="L43" s="70" t="n">
        <x:v>46232.166666666664</x:v>
      </x:c>
      <x:c r="M43" s="70" t="n">
        <x:v>46232.166666666664</x:v>
      </x:c>
      <x:c r="N43" s="53" t="str">
        <x:v>QA / 发布负责人</x:v>
      </x:c>
      <x:c r="O43" s="53" t="str">
        <x:v>T38</x:v>
      </x:c>
      <x:c r="P43" s="53" t="str">
        <x:v>b7-gate-evidence.json</x:v>
      </x:c>
      <x:c r="Q43" s="53" t="str">
        <x:v>format/analyze/test/debug APK 均记录 passed</x:v>
      </x:c>
      <x:c r="R43" s="53" t="str">
        <x:v>Debug APK 202368038 bytes；SHA256 833DA5...
差距：证据基于脏工作树且不是 2026-08-01 新鲜复跑</x:v>
      </x:c>
    </x:row>
    <x:row r="44" ht="46" customHeight="1">
      <x:c r="A44" s="67" t="str">
        <x:v>T40</x:v>
      </x:c>
      <x:c r="B44" s="67" t="str">
        <x:v>B7</x:v>
      </x:c>
      <x:c r="C44" s="67" t="str">
        <x:v>当前复跑</x:v>
      </x:c>
      <x:c r="D44" s="53" t="str">
        <x:v>对当前 155 项变更重新执行全量 Flutter analyze/test/debug gate</x:v>
      </x:c>
      <x:c r="E44" s="53" t="str">
        <x:v>双方共用</x:v>
      </x:c>
      <x:c r="F44" s="67" t="str">
        <x:v>进行中</x:v>
      </x:c>
      <x:c r="G44" s="68" t="n">
        <x:v>0.4</x:v>
      </x:c>
      <x:c r="H44" s="69" t="n">
        <x:v>2</x:v>
      </x:c>
      <x:c r="I44" s="69" t="n">
        <x:f>G44*H44</x:f>
        <x:v>0.8</x:v>
      </x:c>
      <x:c r="J44" s="67" t="str">
        <x:v>P0</x:v>
      </x:c>
      <x:c r="K44" s="70" t="n">
        <x:v>46235.166666666664</x:v>
      </x:c>
      <x:c r="L44" s="70" t="n">
        <x:v>46238.166666666664</x:v>
      </x:c>
      <x:c r="M44" s="70"/>
      <x:c r="N44" s="53" t="str">
        <x:v>QA / 发布负责人</x:v>
      </x:c>
      <x:c r="O44" s="53" t="str">
        <x:v>T14,T15,T35,T36,T38</x:v>
      </x:c>
      <x:c r="P44" s="53" t="str">
        <x:v>当前树新鲜预检证据</x:v>
      </x:c>
      <x:c r="Q44" s="53" t="str">
        <x:v>B7 Preflight 全步骤 passed</x:v>
      </x:c>
      <x:c r="R44" s="53" t="str">
        <x:v>本次 contract 与 production integrity 已通过；Flutter test 等待无输出后终止
差距：Flutter 启动锁/后台进程需释放</x:v>
      </x:c>
    </x:row>
    <x:row r="45" ht="46" customHeight="1">
      <x:c r="A45" s="67" t="str">
        <x:v>T41</x:v>
      </x:c>
      <x:c r="B45" s="67" t="str">
        <x:v>B7</x:v>
      </x:c>
      <x:c r="C45" s="67" t="str">
        <x:v>真盒证据</x:v>
      </x:c>
      <x:c r="D45" s="53" t="str">
        <x:v>收集 11 个必需真盒 E2E case 与固件/schema 证据</x:v>
      </x:c>
      <x:c r="E45" s="53" t="str">
        <x:v>盒子端 + QA</x:v>
      </x:c>
      <x:c r="F45" s="67" t="str">
        <x:v>阻塞</x:v>
      </x:c>
      <x:c r="G45" s="68" t="n">
        <x:v>0</x:v>
      </x:c>
      <x:c r="H45" s="69" t="n">
        <x:v>2</x:v>
      </x:c>
      <x:c r="I45" s="69" t="n">
        <x:f>G45*H45</x:f>
        <x:v>0</x:v>
      </x:c>
      <x:c r="J45" s="67" t="str">
        <x:v>P0</x:v>
      </x:c>
      <x:c r="K45" s="70" t="n">
        <x:v>46242.166666666664</x:v>
      </x:c>
      <x:c r="L45" s="70" t="n">
        <x:v>46248.166666666664</x:v>
      </x:c>
      <x:c r="M45" s="70"/>
      <x:c r="N45" s="53" t="str">
        <x:v>盒子 API owner / QA</x:v>
      </x:c>
      <x:c r="O45" s="53" t="str">
        <x:v>T04,T21,T26,T31,T37</x:v>
      </x:c>
      <x:c r="P45" s="53" t="str">
        <x:v>bird-real-box-e2e.json</x:v>
      </x:c>
      <x:c r="Q45" s="53" t="str">
        <x:v>11 case 全 passed 且证据引用非空</x:v>
      </x:c>
      <x:c r="R45" s="53" t="str">
        <x:v>当前未提供
差距：真实盒子、固件与数据库基线缺失</x:v>
      </x:c>
    </x:row>
    <x:row r="46" ht="46" customHeight="1">
      <x:c r="A46" s="67" t="str">
        <x:v>T42</x:v>
      </x:c>
      <x:c r="B46" s="67" t="str">
        <x:v>B7</x:v>
      </x:c>
      <x:c r="C46" s="67" t="str">
        <x:v>签名发布</x:v>
      </x:c>
      <x:c r="D46" s="53" t="str">
        <x:v>注入正式签名、证书指纹并构建/验签 release APK</x:v>
      </x:c>
      <x:c r="E46" s="53" t="str">
        <x:v>App 发布</x:v>
      </x:c>
      <x:c r="F46" s="67" t="str">
        <x:v>阻塞</x:v>
      </x:c>
      <x:c r="G46" s="68" t="n">
        <x:v>0</x:v>
      </x:c>
      <x:c r="H46" s="69" t="n">
        <x:v>2</x:v>
      </x:c>
      <x:c r="I46" s="69" t="n">
        <x:f>G46*H46</x:f>
        <x:v>0</x:v>
      </x:c>
      <x:c r="J46" s="67" t="str">
        <x:v>P0</x:v>
      </x:c>
      <x:c r="K46" s="70" t="n">
        <x:v>46248.166666666664</x:v>
      </x:c>
      <x:c r="L46" s="70" t="n">
        <x:v>46249.166666666664</x:v>
      </x:c>
      <x:c r="M46" s="70"/>
      <x:c r="N46" s="53" t="str">
        <x:v>App 发布负责人</x:v>
      </x:c>
      <x:c r="O46" s="53" t="str">
        <x:v>T04,T40,T41</x:v>
      </x:c>
      <x:c r="P46" s="53" t="str">
        <x:v>已验签 release APK</x:v>
      </x:c>
      <x:c r="Q46" s="53" t="str">
        <x:v>证书 SHA256 与批准指纹一致</x:v>
      </x:c>
      <x:c r="R46" s="53" t="str">
        <x:v>当前缺正式 keystore/环境变量
差距：签名材料未提供</x:v>
      </x:c>
    </x:row>
    <x:row r="47" ht="46" customHeight="1">
      <x:c r="A47" s="67" t="str">
        <x:v>T43</x:v>
      </x:c>
      <x:c r="B47" s="67" t="str">
        <x:v>B7</x:v>
      </x:c>
      <x:c r="C47" s="67" t="str">
        <x:v>发布决策</x:v>
      </x:c>
      <x:c r="D47" s="53" t="str">
        <x:v>清理并提交工作区、执行 Release gate 与 GO/NO-GO 评审</x:v>
      </x:c>
      <x:c r="E47" s="53" t="str">
        <x:v>双方共用</x:v>
      </x:c>
      <x:c r="F47" s="67" t="str">
        <x:v>待开始</x:v>
      </x:c>
      <x:c r="G47" s="68" t="n">
        <x:v>0</x:v>
      </x:c>
      <x:c r="H47" s="69" t="n">
        <x:v>2</x:v>
      </x:c>
      <x:c r="I47" s="69" t="n">
        <x:f>G47*H47</x:f>
        <x:v>0</x:v>
      </x:c>
      <x:c r="J47" s="67" t="str">
        <x:v>P0</x:v>
      </x:c>
      <x:c r="K47" s="70" t="n">
        <x:v>46249.166666666664</x:v>
      </x:c>
      <x:c r="L47" s="70" t="n">
        <x:v>46249.166666666664</x:v>
      </x:c>
      <x:c r="M47" s="70"/>
      <x:c r="N47" s="53" t="str">
        <x:v>项目负责人 / QA / 发布</x:v>
      </x:c>
      <x:c r="O47" s="53" t="str">
        <x:v>T04,T40-T42</x:v>
      </x:c>
      <x:c r="P47" s="53" t="str">
        <x:v>发布决议与回滚点</x:v>
      </x:c>
      <x:c r="Q47" s="53" t="str">
        <x:v>工作区干净、strict baseline、真盒 E2E、签名均通过</x:v>
      </x:c>
      <x:c r="R47" s="53" t="str">
        <x:v>当前 155 项变更，尚不满足 Release gate
差距：依赖前述所有阻塞项</x:v>
      </x:c>
    </x:row>
  </x:sheetData>
  <x:mergeCells>
    <x:mergeCell ref="A1:R1"/>
    <x:mergeCell ref="A2:R2"/>
  </x:mergeCells>
  <x:conditionalFormatting sqref="F5:F47">
    <x:cfRule type="expression" dxfId="3" priority="1">
      <x:formula>$F5="已完成"</x:formula>
    </x:cfRule>
    <x:cfRule type="expression" dxfId="4" priority="2">
      <x:formula>$F5="进行中"</x:formula>
    </x:cfRule>
    <x:cfRule type="expression" dxfId="5" priority="3">
      <x:formula>$F5="阻塞"</x:formula>
    </x:cfRule>
    <x:cfRule type="expression" dxfId="6" priority="4">
      <x:formula>$F5="待开始"</x:formula>
    </x:cfRule>
  </x:conditionalFormatting>
  <x:conditionalFormatting sqref="G5:G47">
    <x:cfRule type="dataBar" priority="5">
      <x:dataBar>
        <x:cfvo type="min"/>
        <x:cfvo type="max"/>
        <x:color rgb="FF2E74B5"/>
      </x:dataBar>
    </x:cfRule>
  </x:conditionalFormatting>
  <x:conditionalFormatting sqref="I5:I47">
    <x:cfRule type="dataBar" priority="6">
      <x:dataBar>
        <x:cfvo type="min"/>
        <x:cfvo type="max"/>
        <x:color rgb="FF70AD47"/>
      </x:dataBar>
    </x:cfRule>
  </x:conditionalFormatting>
  <x:dataValidations count="3">
    <x:dataValidation type="list" sqref="F5:F47">
      <x:formula1>"已完成,进行中,阻塞,待开始"</x:formula1>
    </x:dataValidation>
    <x:dataValidation type="decimal" operator="between" sqref="G5:G47">
      <x:formula1>0</x:formula1>
      <x:formula2>1</x:formula2>
    </x:dataValidation>
    <x:dataValidation type="list" sqref="J5:J4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8f2996ab0440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30" hidden="0" customWidth="1"/>
    <x:col min="4" max="4" width="32" hidden="0" customWidth="1"/>
    <x:col min="5" max="5" width="45" hidden="0" customWidth="1"/>
    <x:col min="6" max="6" width="25" hidden="0" customWidth="1"/>
    <x:col min="7" max="7" width="20" hidden="0" customWidth="1"/>
    <x:col min="8" max="8" width="36" hidden="0" customWidth="1"/>
  </x:cols>
  <x:sheetData>
    <x:row r="1" ht="34" customHeight="1">
      <x:c r="A1" s="4" t="str">
        <x:v>功能与模块对接矩阵</x:v>
      </x:c>
      <x:c r="B1" s="4"/>
      <x:c r="C1" s="4"/>
      <x:c r="D1" s="4"/>
      <x:c r="E1" s="4"/>
      <x:c r="F1" s="4"/>
      <x:c r="G1" s="4"/>
      <x:c r="H1" s="4"/>
    </x:row>
    <x:row r="2" ht="28" customHeight="1">
      <x:c r="A2" s="9" t="str">
        <x:v>描述功能从哪个页面/控制器出发，经哪些 Repository/Core，到达哪条协议或盒子能力。 </x:v>
      </x:c>
      <x:c r="B2" s="9"/>
      <x:c r="C2" s="9"/>
      <x:c r="D2" s="9"/>
      <x:c r="E2" s="9"/>
      <x:c r="F2" s="9"/>
      <x:c r="G2" s="9"/>
      <x:c r="H2" s="9"/>
    </x:row>
    <x:row r="4" ht="28" customHeight="1">
      <x:c r="A4" s="50" t="str">
        <x:v>ID</x:v>
      </x:c>
      <x:c r="B4" s="50" t="str">
        <x:v>业务链路</x:v>
      </x:c>
      <x:c r="C4" s="50" t="str">
        <x:v>起点模块</x:v>
      </x:c>
      <x:c r="D4" s="50" t="str">
        <x:v>目标模块</x:v>
      </x:c>
      <x:c r="E4" s="50" t="str">
        <x:v>怎么对接</x:v>
      </x:c>
      <x:c r="F4" s="50" t="str">
        <x:v>协议/数据</x:v>
      </x:c>
      <x:c r="G4" s="50" t="str">
        <x:v>状态</x:v>
      </x:c>
      <x:c r="H4" s="50" t="str">
        <x:v>差距</x:v>
      </x:c>
    </x:row>
    <x:row r="5" ht="58" customHeight="1">
      <x:c r="A5" s="67" t="str">
        <x:v>I01</x:v>
      </x:c>
      <x:c r="B5" s="53" t="str">
        <x:v>生产启动</x:v>
      </x:c>
      <x:c r="C5" s="53" t="str">
        <x:v>lib/main.dart</x:v>
      </x:c>
      <x:c r="D5" s="53" t="str">
        <x:v>IntegratedBirdBootstrap → BirdCompanionDependencies → BirdCompanionApp</x:v>
      </x:c>
      <x:c r="E5" s="53" t="str">
        <x:v>单入口创建单依赖图与单 MaterialApp</x:v>
      </x:c>
      <x:c r="F5" s="53" t="str">
        <x:v>进程内注入</x:v>
      </x:c>
      <x:c r="G5" s="67" t="str">
        <x:v>已接入</x:v>
      </x:c>
      <x:c r="H5" s="53" t="str">
        <x:v>无</x:v>
      </x:c>
    </x:row>
    <x:row r="6" ht="58" customHeight="1">
      <x:c r="A6" s="67" t="str">
        <x:v>I02</x:v>
      </x:c>
      <x:c r="B6" s="53" t="str">
        <x:v>三 Tab 导航</x:v>
      </x:c>
      <x:c r="C6" s="53" t="str">
        <x:v>BirdAppShell</x:v>
      </x:c>
      <x:c r="D6" s="53" t="str">
        <x:v>AlbumHomePage / TaskExperienceRoot / SettingsExperienceRoot</x:v>
      </x:c>
      <x:c r="E6" s="53" t="str">
        <x:v>三个嵌套 Navigator；BirdShellNavigation 跨 Tab 切换并传参</x:v>
      </x:c>
      <x:c r="F6" s="53" t="str">
        <x:v>GalleryArgs(project_id)</x:v>
      </x:c>
      <x:c r="G6" s="67" t="str">
        <x:v>已接入</x:v>
      </x:c>
      <x:c r="H6" s="53" t="str">
        <x:v>需持续回归返回键和深链</x:v>
      </x:c>
    </x:row>
    <x:row r="7" ht="58" customHeight="1">
      <x:c r="A7" s="67" t="str">
        <x:v>I03</x:v>
      </x:c>
      <x:c r="B7" s="53" t="str">
        <x:v>发现与连接</x:v>
      </x:c>
      <x:c r="C7" s="53" t="str">
        <x:v>ConnectionPage / ConnectionCubit</x:v>
      </x:c>
      <x:c r="D7" s="53" t="str">
        <x:v>ConnectionRepository → ConnectionApi</x:v>
      </x:c>
      <x:c r="E7" s="53" t="str">
        <x:v>mDNS、二维码、手填地址后 GET device/status</x:v>
      </x:c>
      <x:c r="F7" s="53" t="str">
        <x:v>GET /api/v1/device/status</x:v>
      </x:c>
      <x:c r="G7" s="67" t="str">
        <x:v>已接入</x:v>
      </x:c>
      <x:c r="H7" s="53" t="str">
        <x:v>真机 mDNS 与目标网络未验</x:v>
      </x:c>
    </x:row>
    <x:row r="8" ht="58" customHeight="1">
      <x:c r="A8" s="67" t="str">
        <x:v>I04</x:v>
      </x:c>
      <x:c r="B8" s="53" t="str">
        <x:v>配对与会话</x:v>
      </x:c>
      <x:c r="C8" s="53" t="str">
        <x:v>PairingApi / SessionCoordinator</x:v>
      </x:c>
      <x:c r="D8" s="53" t="str">
        <x:v>ApiClient + EventClient + Android Keystore</x:v>
      </x:c>
      <x:c r="E8" s="53" t="str">
        <x:v>pair 获 Token；原子配置 REST/WS；401/403 清会话</x:v>
      </x:c>
      <x:c r="F8" s="53" t="str">
        <x:v>POST /device/pair；Bearer；X-Api-Version</x:v>
      </x:c>
      <x:c r="G8" s="67" t="str">
        <x:v>客户端已接入</x:v>
      </x:c>
      <x:c r="H8" s="53" t="str">
        <x:v>真盒 Header/吊销策略待验</x:v>
      </x:c>
    </x:row>
    <x:row r="9" ht="58" customHeight="1">
      <x:c r="A9" s="67" t="str">
        <x:v>I05</x:v>
      </x:c>
      <x:c r="B9" s="53" t="str">
        <x:v>任务前半链路</x:v>
      </x:c>
      <x:c r="C9" s="53" t="str">
        <x:v>TaskExperienceRoot</x:v>
      </x:c>
      <x:c r="D9" s="53" t="str">
        <x:v>StorageRepository / BatchRepository / JobRepository</x:v>
      </x:c>
      <x:c r="E9" s="53" t="str">
        <x:v>扫描→创建项目→导入→自动创建分析→事件/轮询刷新</x:v>
      </x:c>
      <x:c r="F9" s="53" t="str">
        <x:v>scan/rescan；POST projects/imports/analysis-jobs；GET jobs</x:v>
      </x:c>
      <x:c r="G9" s="67" t="str">
        <x:v>客户端与 mock 已接入</x:v>
      </x:c>
      <x:c r="H9" s="53" t="str">
        <x:v>盒子端真实实现待确认</x:v>
      </x:c>
    </x:row>
    <x:row r="10" ht="58" customHeight="1">
      <x:c r="A10" s="67" t="str">
        <x:v>I06</x:v>
      </x:c>
      <x:c r="B10" s="53" t="str">
        <x:v>任务到相册</x:v>
      </x:c>
      <x:c r="C10" s="53" t="str">
        <x:v>RepositoryTaskExperienceController</x:v>
      </x:c>
      <x:c r="D10" s="53" t="str">
        <x:v>BirdAppShell → GalleryPage</x:v>
      </x:c>
      <x:c r="E10" s="53" t="str">
        <x:v>分析完成事件携带 source_project_id，切到相册 Tab 并 push GalleryArgs</x:v>
      </x:c>
      <x:c r="F10" s="53" t="str">
        <x:v>project_id</x:v>
      </x:c>
      <x:c r="G10" s="67" t="str">
        <x:v>已接入</x:v>
      </x:c>
      <x:c r="H10" s="53" t="str">
        <x:v>真盒任务必须返回 source_project_id</x:v>
      </x:c>
    </x:row>
    <x:row r="11" ht="58" customHeight="1">
      <x:c r="A11" s="67" t="str">
        <x:v>I07</x:v>
      </x:c>
      <x:c r="B11" s="53" t="str">
        <x:v>相册读取</x:v>
      </x:c>
      <x:c r="C11" s="53" t="str">
        <x:v>AlbumHomePage / GalleryCubit</x:v>
      </x:c>
      <x:c r="D11" s="53" t="str">
        <x:v>BatchRepository / PhotoRepository</x:v>
      </x:c>
      <x:c r="E11" s="53" t="str">
        <x:v>按设备与项目分页、筛选、缓存回退</x:v>
      </x:c>
      <x:c r="F11" s="53" t="str">
        <x:v>GET projects/current；GET projects/{id}/files/scenes/groups</x:v>
      </x:c>
      <x:c r="G11" s="67" t="str">
        <x:v>已接入</x:v>
      </x:c>
      <x:c r="H11" s="53" t="str">
        <x:v>真实 1200 张不同照片性能未验</x:v>
      </x:c>
    </x:row>
    <x:row r="12" ht="58" customHeight="1">
      <x:c r="A12" s="67" t="str">
        <x:v>I08</x:v>
      </x:c>
      <x:c r="B12" s="53" t="str">
        <x:v>审阅写入</x:v>
      </x:c>
      <x:c r="C12" s="53" t="str">
        <x:v>Detail/Group/Comparison Cubit</x:v>
      </x:c>
      <x:c r="D12" s="53" t="str">
        <x:v>ReviewRepository → BirdSyncService</x:v>
      </x:c>
      <x:c r="E12" s="53" t="str">
        <x:v>UserDecisionPatch 在线写；断网入队；联网复用幂等键；409 进入冲突</x:v>
      </x:c>
      <x:c r="F12" s="53" t="str">
        <x:v>POST files/{id}/decision；version</x:v>
      </x:c>
      <x:c r="G12" s="67" t="str">
        <x:v>已接入</x:v>
      </x:c>
      <x:c r="H12" s="53" t="str">
        <x:v>离线批量 payload 仍有 batch_id</x:v>
      </x:c>
    </x:row>
    <x:row r="13" ht="58" customHeight="1">
      <x:c r="A13" s="67" t="str">
        <x:v>I09</x:v>
      </x:c>
      <x:c r="B13" s="53" t="str">
        <x:v>复制与任务后半链路</x:v>
      </x:c>
      <x:c r="C13" s="53" t="str">
        <x:v>CopyConfirmationPage / TaskExperienceRoot</x:v>
      </x:c>
      <x:c r="D13" s="53" t="str">
        <x:v>CopyRepository / JobRepository</x:v>
      </x:c>
      <x:c r="E13" s="53" t="str">
        <x:v>estimate→create→job detail/failures/report→复制完成通知</x:v>
      </x:c>
      <x:c r="F13" s="53" t="str">
        <x:v>copy/estimate；POST copy；GET jobs/report</x:v>
      </x:c>
      <x:c r="G13" s="67" t="str">
        <x:v>客户端与 mock 已接入</x:v>
      </x:c>
      <x:c r="H13" s="53" t="str">
        <x:v>目标盘/空间不足真盒场景未验</x:v>
      </x:c>
    </x:row>
    <x:row r="14" ht="58" customHeight="1">
      <x:c r="A14" s="67" t="str">
        <x:v>I10</x:v>
      </x:c>
      <x:c r="B14" s="53" t="str">
        <x:v>任务控制</x:v>
      </x:c>
      <x:c r="C14" s="53" t="str">
        <x:v>TaskExperienceRoot / JobCenterPage / DeviceStatusPage</x:v>
      </x:c>
      <x:c r="D14" s="53" t="str">
        <x:v>JobRepository / DeviceRepository</x:v>
      </x:c>
      <x:c r="E14" s="53" t="str">
        <x:v>任务页带 version；设备状态页直接调用 action</x:v>
      </x:c>
      <x:c r="F14" s="53" t="str">
        <x:v>POST jobs/{id}/actions</x:v>
      </x:c>
      <x:c r="G14" s="67" t="str">
        <x:v>部分一致</x:v>
      </x:c>
      <x:c r="H14" s="53" t="str">
        <x:v>DeviceStatusApi 未携带 version；存在两套 UI 路径</x:v>
      </x:c>
    </x:row>
    <x:row r="15" ht="58" customHeight="1">
      <x:c r="A15" s="67" t="str">
        <x:v>I11</x:v>
      </x:c>
      <x:c r="B15" s="53" t="str">
        <x:v>日志下载</x:v>
      </x:c>
      <x:c r="C15" s="53" t="str">
        <x:v>SystemLogsPage / TaskDetail</x:v>
      </x:c>
      <x:c r="D15" s="53" t="str">
        <x:v>JobRepository.exportLogs → LogDownloadService</x:v>
      </x:c>
      <x:c r="E15" s="53" t="str">
        <x:v>获取短签名 URL；过期重新申请；下载到 Downloads/Documents</x:v>
      </x:c>
      <x:c r="F15" s="53" t="str">
        <x:v>POST logs/export；signed GET</x:v>
      </x:c>
      <x:c r="G15" s="67" t="str">
        <x:v>客户端与 mock 已接入</x:v>
      </x:c>
      <x:c r="H15" s="53" t="str">
        <x:v>真盒日志权限与文件格式未验</x:v>
      </x:c>
    </x:row>
    <x:row r="16" ht="58" customHeight="1">
      <x:c r="A16" s="67" t="str">
        <x:v>I12</x:v>
      </x:c>
      <x:c r="B16" s="53" t="str">
        <x:v>设置与跨模块刷新</x:v>
      </x:c>
      <x:c r="C16" s="53" t="str">
        <x:v>BirdSettingsController / SettingsStore</x:v>
      </x:c>
      <x:c r="D16" s="53" t="str">
        <x:v>Hive + AppDataChangeBus + 各 Cubit</x:v>
      </x:c>
      <x:c r="E16" s="53" t="str">
        <x:v>UI 偏好持久化；精确发布资源变更；设备事实只读</x:v>
      </x:c>
      <x:c r="F16" s="53" t="str">
        <x:v>settings:ui:v1 / AppDataResource</x:v>
      </x:c>
      <x:c r="G16" s="67" t="str">
        <x:v>已接入</x:v>
      </x:c>
      <x:c r="H16" s="53" t="str">
        <x:v>真机重启与产品级账号策略未验</x:v>
      </x:c>
    </x:row>
  </x:sheetData>
  <x:mergeCells>
    <x:mergeCell ref="A1:H1"/>
    <x:mergeCell ref="A2:H2"/>
  </x:mergeCells>
  <x:conditionalFormatting sqref="G5:G16">
    <x:cfRule type="expression" dxfId="7" priority="1">
      <x:formula>$G5="已接入"</x:formula>
    </x:cfRule>
    <x:cfRule type="expression" dxfId="8" priority="2">
      <x:formula>ISNUMBER(SEARCH("客户端",$G5))</x:formula>
    </x:cfRule>
    <x:cfRule type="expression" dxfId="9" priority="3">
      <x:formula>$G5="部分一致"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ca7b0336e8443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44" hidden="0" customWidth="1"/>
    <x:col min="4" max="4" width="35" hidden="0" customWidth="1"/>
    <x:col min="5" max="5" width="8" hidden="0" customWidth="1"/>
    <x:col min="6" max="6" width="8" hidden="0" customWidth="1"/>
    <x:col min="7" max="7" width="9" hidden="0" customWidth="1"/>
    <x:col min="8" max="8" width="9" hidden="0" customWidth="1"/>
    <x:col min="9" max="9" width="26" hidden="0" customWidth="1"/>
    <x:col min="10" max="10" width="45" hidden="0" customWidth="1"/>
    <x:col min="11" max="11" width="11" hidden="0" customWidth="1"/>
    <x:col min="12" max="12" width="12" hidden="0" customWidth="1"/>
  </x:cols>
  <x:sheetData>
    <x:row r="1" ht="34" customHeight="1">
      <x:c r="A1" s="4" t="str">
        <x:v>风险与问题清单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8" customHeight="1">
      <x:c r="A2" s="9" t="str">
        <x:v>风险分数=发生概率×影响（1-5）。20-25 极高，12-19 高，6-11 中，1-5 低。 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4" ht="28" customHeight="1">
      <x:c r="A4" s="50" t="str">
        <x:v>ID</x:v>
      </x:c>
      <x:c r="B4" s="50" t="str">
        <x:v>分类</x:v>
      </x:c>
      <x:c r="C4" s="50" t="str">
        <x:v>风险</x:v>
      </x:c>
      <x:c r="D4" s="50" t="str">
        <x:v>触发条件</x:v>
      </x:c>
      <x:c r="E4" s="50" t="str">
        <x:v>概率</x:v>
      </x:c>
      <x:c r="F4" s="50" t="str">
        <x:v>影响</x:v>
      </x:c>
      <x:c r="G4" s="50" t="str">
        <x:v>分数</x:v>
      </x:c>
      <x:c r="H4" s="50" t="str">
        <x:v>等级</x:v>
      </x:c>
      <x:c r="I4" s="50" t="str">
        <x:v>Owner</x:v>
      </x:c>
      <x:c r="J4" s="50" t="str">
        <x:v>缓解措施</x:v>
      </x:c>
      <x:c r="K4" s="50" t="str">
        <x:v>状态</x:v>
      </x:c>
      <x:c r="L4" s="50" t="str">
        <x:v>截止日</x:v>
      </x:c>
    </x:row>
    <x:row r="5" ht="58" customHeight="1">
      <x:c r="A5" s="67" t="str">
        <x:v>R01</x:v>
      </x:c>
      <x:c r="B5" s="67" t="str">
        <x:v>外部依赖</x:v>
      </x:c>
      <x:c r="C5" s="53" t="str">
        <x:v>真实盒子仓库、固件、部署、数据库与联系人缺失</x:v>
      </x:c>
      <x:c r="D5" s="53" t="str">
        <x:v>baseline status 仍不是 ready</x:v>
      </x:c>
      <x:c r="E5" s="67" t="n">
        <x:v>5</x:v>
      </x:c>
      <x:c r="F5" s="67" t="n">
        <x:v>5</x:v>
      </x:c>
      <x:c r="G5" s="67" t="n">
        <x:f>E5*F5</x:f>
        <x:v>25</x:v>
      </x:c>
      <x:c r="H5" s="67" t="str">
        <x:f>IF(G5&gt;=20,"极高",IF(G5&gt;=12,"高",IF(G5&gt;=6,"中","低")))</x:f>
        <x:v>极高</x:v>
      </x:c>
      <x:c r="I5" s="53" t="str">
        <x:v>盒子 API owner / 项目负责人</x:v>
      </x:c>
      <x:c r="J5" s="53" t="str">
        <x:v>2026-08-04 前补齐 baseline 13 项并运行 strict-baseline</x:v>
      </x:c>
      <x:c r="K5" s="67" t="str">
        <x:v>开放</x:v>
      </x:c>
      <x:c r="L5" s="71" t="n">
        <x:v>46238.166666666664</x:v>
      </x:c>
    </x:row>
    <x:row r="6" ht="58" customHeight="1">
      <x:c r="A6" s="67" t="str">
        <x:v>R02</x:v>
      </x:c>
      <x:c r="B6" s="67" t="str">
        <x:v>发布</x:v>
      </x:c>
      <x:c r="C6" s="53" t="str">
        <x:v>正式签名密钥与批准证书指纹未提供</x:v>
      </x:c>
      <x:c r="D6" s="53" t="str">
        <x:v>Release gate 报签名配置缺失</x:v>
      </x:c>
      <x:c r="E6" s="67" t="n">
        <x:v>5</x:v>
      </x:c>
      <x:c r="F6" s="67" t="n">
        <x:v>5</x:v>
      </x:c>
      <x:c r="G6" s="67" t="n">
        <x:f>E6*F6</x:f>
        <x:v>25</x:v>
      </x:c>
      <x:c r="H6" s="67" t="str">
        <x:f>IF(G6&gt;=20,"极高",IF(G6&gt;=12,"高",IF(G6&gt;=6,"中","低")))</x:f>
        <x:v>极高</x:v>
      </x:c>
      <x:c r="I6" s="53" t="str">
        <x:v>App 发布负责人</x:v>
      </x:c>
      <x:c r="J6" s="53" t="str">
        <x:v>通过安全存储注入四项签名凭据与证书 SHA256，禁止入库</x:v>
      </x:c>
      <x:c r="K6" s="67" t="str">
        <x:v>开放</x:v>
      </x:c>
      <x:c r="L6" s="71" t="n">
        <x:v>46248.166666666664</x:v>
      </x:c>
    </x:row>
    <x:row r="7" ht="58" customHeight="1">
      <x:c r="A7" s="67" t="str">
        <x:v>R03</x:v>
      </x:c>
      <x:c r="B7" s="67" t="str">
        <x:v>协议</x:v>
      </x:c>
      <x:c r="C7" s="53" t="str">
        <x:v>离线批量写仍序列化 batch_id，偏离 v1 project_id</x:v>
      </x:c>
      <x:c r="D7" s="53" t="str">
        <x:v>严格盒子返回 400/422</x:v>
      </x:c>
      <x:c r="E7" s="67" t="n">
        <x:v>4</x:v>
      </x:c>
      <x:c r="F7" s="67" t="n">
        <x:v>4</x:v>
      </x:c>
      <x:c r="G7" s="67" t="n">
        <x:f>E7*F7</x:f>
        <x:v>16</x:v>
      </x:c>
      <x:c r="H7" s="67" t="str">
        <x:f>IF(G7&gt;=20,"极高",IF(G7&gt;=12,"高",IF(G7&gt;=6,"中","低")))</x:f>
        <x:v>高</x:v>
      </x:c>
      <x:c r="I7" s="53" t="str">
        <x:v>相册 / 审阅负责人</x:v>
      </x:c>
      <x:c r="J7" s="53" t="str">
        <x:v>T14 删除 wire batch_id，保留只读迁移兼容并补契约测试</x:v>
      </x:c>
      <x:c r="K7" s="67" t="str">
        <x:v>处理中</x:v>
      </x:c>
      <x:c r="L7" s="71" t="n">
        <x:v>46237.166666666664</x:v>
      </x:c>
    </x:row>
    <x:row r="8" ht="58" customHeight="1">
      <x:c r="A8" s="67" t="str">
        <x:v>R04</x:v>
      </x:c>
      <x:c r="B8" s="67" t="str">
        <x:v>并发</x:v>
      </x:c>
      <x:c r="C8" s="53" t="str">
        <x:v>设备状态页控制任务不携带 version</x:v>
      </x:c>
      <x:c r="D8" s="53" t="str">
        <x:v>多端控制返回错误状态或覆盖</x:v>
      </x:c>
      <x:c r="E8" s="67" t="n">
        <x:v>4</x:v>
      </x:c>
      <x:c r="F8" s="67" t="n">
        <x:v>4</x:v>
      </x:c>
      <x:c r="G8" s="67" t="n">
        <x:f>E8*F8</x:f>
        <x:v>16</x:v>
      </x:c>
      <x:c r="H8" s="67" t="str">
        <x:f>IF(G8&gt;=20,"极高",IF(G8&gt;=12,"高",IF(G8&gt;=6,"中","低")))</x:f>
        <x:v>高</x:v>
      </x:c>
      <x:c r="I8" s="53" t="str">
        <x:v>公共 Flutter 核心 owner</x:v>
      </x:c>
      <x:c r="J8" s="53" t="str">
        <x:v>统一复用 JobRepository.control 或扩 DeviceRepository 签名</x:v>
      </x:c>
      <x:c r="K8" s="67" t="str">
        <x:v>处理中</x:v>
      </x:c>
      <x:c r="L8" s="71" t="n">
        <x:v>46237.166666666664</x:v>
      </x:c>
    </x:row>
    <x:row r="9" ht="58" customHeight="1">
      <x:c r="A9" s="67" t="str">
        <x:v>R05</x:v>
      </x:c>
      <x:c r="B9" s="67" t="str">
        <x:v>维护性</x:v>
      </x:c>
      <x:c r="C9" s="53" t="str">
        <x:v>TaskExperienceRoot 与 JobCenterPage 两条任务展示路径并存</x:v>
      </x:c>
      <x:c r="D9" s="53" t="str">
        <x:v>同一任务在两页动作/文案不一致</x:v>
      </x:c>
      <x:c r="E9" s="67" t="n">
        <x:v>3</x:v>
      </x:c>
      <x:c r="F9" s="67" t="n">
        <x:v>3</x:v>
      </x:c>
      <x:c r="G9" s="67" t="n">
        <x:f>E9*F9</x:f>
        <x:v>9</x:v>
      </x:c>
      <x:c r="H9" s="67" t="str">
        <x:f>IF(G9&gt;=20,"极高",IF(G9&gt;=12,"高",IF(G9&gt;=6,"中","低")))</x:f>
        <x:v>中</x:v>
      </x:c>
      <x:c r="I9" s="53" t="str">
        <x:v>App 集成负责人</x:v>
      </x:c>
      <x:c r="J9" s="53" t="str">
        <x:v>确定单一产品入口，另一条降为复用组件或移除</x:v>
      </x:c>
      <x:c r="K9" s="67" t="str">
        <x:v>开放</x:v>
      </x:c>
      <x:c r="L9" s="71" t="n">
        <x:v>46240.166666666664</x:v>
      </x:c>
    </x:row>
    <x:row r="10" ht="58" customHeight="1">
      <x:c r="A10" s="67" t="str">
        <x:v>R06</x:v>
      </x:c>
      <x:c r="B10" s="67" t="str">
        <x:v>版本管理</x:v>
      </x:c>
      <x:c r="C10" s="53" t="str">
        <x:v>当前工作区 155 项变更未提交，HEAD 不能代表实际代码</x:v>
      </x:c>
      <x:c r="D10" s="53" t="str">
        <x:v>发布证据与源代码无法对应</x:v>
      </x:c>
      <x:c r="E10" s="67" t="n">
        <x:v>5</x:v>
      </x:c>
      <x:c r="F10" s="67" t="n">
        <x:v>4</x:v>
      </x:c>
      <x:c r="G10" s="67" t="n">
        <x:f>E10*F10</x:f>
        <x:v>20</x:v>
      </x:c>
      <x:c r="H10" s="67" t="str">
        <x:f>IF(G10&gt;=20,"极高",IF(G10&gt;=12,"高",IF(G10&gt;=6,"中","低")))</x:f>
        <x:v>极高</x:v>
      </x:c>
      <x:c r="I10" s="53" t="str">
        <x:v>App 集成负责人</x:v>
      </x:c>
      <x:c r="J10" s="53" t="str">
        <x:v>按 B0-B7 拆分评审、提交、打 tag，保留回滚点</x:v>
      </x:c>
      <x:c r="K10" s="67" t="str">
        <x:v>开放</x:v>
      </x:c>
      <x:c r="L10" s="71" t="n">
        <x:v>46242.166666666664</x:v>
      </x:c>
    </x:row>
    <x:row r="11" ht="58" customHeight="1">
      <x:c r="A11" s="67" t="str">
        <x:v>R07</x:v>
      </x:c>
      <x:c r="B11" s="67" t="str">
        <x:v>验证</x:v>
      </x:c>
      <x:c r="C11" s="53" t="str">
        <x:v>2026-08-01 全量 Flutter 测试复跑因启动等待无输出未完成</x:v>
      </x:c>
      <x:c r="D11" s="53" t="str">
        <x:v>当前树没有新鲜 analyze/test/build 证据</x:v>
      </x:c>
      <x:c r="E11" s="67" t="n">
        <x:v>3</x:v>
      </x:c>
      <x:c r="F11" s="67" t="n">
        <x:v>4</x:v>
      </x:c>
      <x:c r="G11" s="67" t="n">
        <x:f>E11*F11</x:f>
        <x:v>12</x:v>
      </x:c>
      <x:c r="H11" s="67" t="str">
        <x:f>IF(G11&gt;=20,"极高",IF(G11&gt;=12,"高",IF(G11&gt;=6,"中","低")))</x:f>
        <x:v>高</x:v>
      </x:c>
      <x:c r="I11" s="53" t="str">
        <x:v>QA / 发布负责人</x:v>
      </x:c>
      <x:c r="J11" s="53" t="str">
        <x:v>释放 Flutter/Gradle 锁后执行 B7 Preflight，并存新 evidence</x:v>
      </x:c>
      <x:c r="K11" s="67" t="str">
        <x:v>开放</x:v>
      </x:c>
      <x:c r="L11" s="71" t="n">
        <x:v>46238.166666666664</x:v>
      </x:c>
    </x:row>
    <x:row r="12" ht="58" customHeight="1">
      <x:c r="A12" s="67" t="str">
        <x:v>R08</x:v>
      </x:c>
      <x:c r="B12" s="67" t="str">
        <x:v>鉴权</x:v>
      </x:c>
      <x:c r="C12" s="53" t="str">
        <x:v>真实盒子可能不支持 WS Authorization Header 或短签名资源策略</x:v>
      </x:c>
      <x:c r="D12" s="53" t="str">
        <x:v>HTTP 200 但 WS/媒体/日志 401/403</x:v>
      </x:c>
      <x:c r="E12" s="67" t="n">
        <x:v>4</x:v>
      </x:c>
      <x:c r="F12" s="67" t="n">
        <x:v>5</x:v>
      </x:c>
      <x:c r="G12" s="67" t="n">
        <x:f>E12*F12</x:f>
        <x:v>20</x:v>
      </x:c>
      <x:c r="H12" s="67" t="str">
        <x:f>IF(G12&gt;=20,"极高",IF(G12&gt;=12,"高",IF(G12&gt;=6,"中","低")))</x:f>
        <x:v>极高</x:v>
      </x:c>
      <x:c r="I12" s="53" t="str">
        <x:v>盒子安全 / App 网络</x:v>
      </x:c>
      <x:c r="J12" s="53" t="str">
        <x:v>B3 联调前冻结 Header/ticket 与签名 URL 过期策略</x:v>
      </x:c>
      <x:c r="K12" s="67" t="str">
        <x:v>开放</x:v>
      </x:c>
      <x:c r="L12" s="71" t="n">
        <x:v>46241.166666666664</x:v>
      </x:c>
    </x:row>
    <x:row r="13" ht="58" customHeight="1">
      <x:c r="A13" s="67" t="str">
        <x:v>R09</x:v>
      </x:c>
      <x:c r="B13" s="67" t="str">
        <x:v>数据</x:v>
      </x:c>
      <x:c r="C13" s="53" t="str">
        <x:v>真实盒子数据库迁移、回滚和并发锁未知</x:v>
      </x:c>
      <x:c r="D13" s="53" t="str">
        <x:v>升级/降级无法验证或幂等重放重复写</x:v>
      </x:c>
      <x:c r="E13" s="67" t="n">
        <x:v>5</x:v>
      </x:c>
      <x:c r="F13" s="67" t="n">
        <x:v>5</x:v>
      </x:c>
      <x:c r="G13" s="67" t="n">
        <x:f>E13*F13</x:f>
        <x:v>25</x:v>
      </x:c>
      <x:c r="H13" s="67" t="str">
        <x:f>IF(G13&gt;=20,"极高",IF(G13&gt;=12,"高",IF(G13&gt;=6,"中","低")))</x:f>
        <x:v>极高</x:v>
      </x:c>
      <x:c r="I13" s="53" t="str">
        <x:v>盒子数据负责人</x:v>
      </x:c>
      <x:c r="J13" s="53" t="str">
        <x:v>提供 DDL、索引、forward/rollback、备份与脱敏数据</x:v>
      </x:c>
      <x:c r="K13" s="67" t="str">
        <x:v>开放</x:v>
      </x:c>
      <x:c r="L13" s="71" t="n">
        <x:v>46238.166666666664</x:v>
      </x:c>
    </x:row>
    <x:row r="14" ht="58" customHeight="1">
      <x:c r="A14" s="67" t="str">
        <x:v>R10</x:v>
      </x:c>
      <x:c r="B14" s="67" t="str">
        <x:v>文档</x:v>
      </x:c>
      <x:c r="C14" s="53" t="str">
        <x:v>旧功能矩阵仍将任务/设置标为未接入，容易误导交接</x:v>
      </x:c>
      <x:c r="D14" s="53" t="str">
        <x:v>评审继续引用 7.29 前状态</x:v>
      </x:c>
      <x:c r="E14" s="67" t="n">
        <x:v>3</x:v>
      </x:c>
      <x:c r="F14" s="67" t="n">
        <x:v>2</x:v>
      </x:c>
      <x:c r="G14" s="67" t="n">
        <x:f>E14*F14</x:f>
        <x:v>6</x:v>
      </x:c>
      <x:c r="H14" s="67" t="str">
        <x:f>IF(G14&gt;=20,"极高",IF(G14&gt;=12,"高",IF(G14&gt;=6,"中","低")))</x:f>
        <x:v>中</x:v>
      </x:c>
      <x:c r="I14" s="53" t="str">
        <x:v>App 集成负责人</x:v>
      </x:c>
      <x:c r="J14" s="53" t="str">
        <x:v>以本实施书和进度表为新基线，旧文档标注已过期</x:v>
      </x:c>
      <x:c r="K14" s="67" t="str">
        <x:v>开放</x:v>
      </x:c>
      <x:c r="L14" s="71" t="n">
        <x:v>46237.166666666664</x:v>
      </x:c>
    </x:row>
    <x:row r="15" ht="58" customHeight="1">
      <x:c r="A15" s="67" t="str">
        <x:v>R11</x:v>
      </x:c>
      <x:c r="B15" s="67" t="str">
        <x:v>包体</x:v>
      </x:c>
      <x:c r="C15" s="53" t="str">
        <x:v>历史 Debug APK 约 202 MB，正式发布包体可能偏大</x:v>
      </x:c>
      <x:c r="D15" s="53" t="str">
        <x:v>分发或安装时间不达标</x:v>
      </x:c>
      <x:c r="E15" s="67" t="n">
        <x:v>3</x:v>
      </x:c>
      <x:c r="F15" s="67" t="n">
        <x:v>2</x:v>
      </x:c>
      <x:c r="G15" s="67" t="n">
        <x:f>E15*F15</x:f>
        <x:v>6</x:v>
      </x:c>
      <x:c r="H15" s="67" t="str">
        <x:f>IF(G15&gt;=20,"极高",IF(G15&gt;=12,"高",IF(G15&gt;=6,"中","低")))</x:f>
        <x:v>中</x:v>
      </x:c>
      <x:c r="I15" s="53" t="str">
        <x:v>App 发布负责人</x:v>
      </x:c>
      <x:c r="J15" s="53" t="str">
        <x:v>Release 前评估 AAB、ABI 拆分、资源压缩、R8/shrinkResources</x:v>
      </x:c>
      <x:c r="K15" s="67" t="str">
        <x:v>开放</x:v>
      </x:c>
      <x:c r="L15" s="71" t="n">
        <x:v>46248.166666666664</x:v>
      </x:c>
    </x:row>
  </x:sheetData>
  <x:mergeCells>
    <x:mergeCell ref="A1:L1"/>
    <x:mergeCell ref="A2:L2"/>
  </x:mergeCells>
  <x:conditionalFormatting sqref="G5:G15">
    <x:cfRule type="colorScale" priority="1">
      <x:colorScale>
        <x:cfvo type="min"/>
        <x:cfvo type="percentile" val="50"/>
        <x:cfvo type="max"/>
        <x:color rgb="FFE2F0D9"/>
        <x:color rgb="FFFFF2CC"/>
        <x:color rgb="FFFCE4D6"/>
      </x:colorScale>
    </x:cfRule>
  </x:conditionalFormatting>
  <x:conditionalFormatting sqref="H5:H15">
    <x:cfRule type="expression" dxfId="10" priority="2">
      <x:formula>$H5="极高"</x:formula>
    </x:cfRule>
    <x:cfRule type="expression" dxfId="11" priority="3">
      <x:formula>$H5="高"</x:formula>
    </x:cfRule>
    <x:cfRule type="expression" dxfId="12" priority="4">
      <x:formula>$H5="中"</x:formula>
    </x:cfRule>
  </x:conditionalFormatting>
  <x:dataValidations count="2">
    <x:dataValidation type="whole" operator="between" sqref="E5:F15">
      <x:formula1>1</x:formula1>
      <x:formula2>5</x:formula2>
    </x:dataValidation>
    <x:dataValidation type="list" sqref="K5:K15">
      <x:formula1>"开放,处理中,已关闭"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558a905b554c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2" hidden="0" customWidth="1"/>
    <x:col min="3" max="3" width="14" hidden="0" customWidth="1"/>
    <x:col min="4" max="4" width="11" hidden="0" customWidth="1"/>
    <x:col min="5" max="5" width="12" hidden="0" customWidth="1"/>
    <x:col min="6" max="6" width="72" hidden="0" customWidth="1"/>
  </x:cols>
  <x:sheetData>
    <x:row r="1" ht="34" customHeight="1">
      <x:c r="A1" s="4" t="str">
        <x:v>项目合并里程碑</x:v>
      </x:c>
      <x:c r="B1" s="4"/>
      <x:c r="C1" s="4"/>
      <x:c r="D1" s="4"/>
      <x:c r="E1" s="4"/>
      <x:c r="F1" s="4"/>
    </x:row>
    <x:row r="2" ht="28" customHeight="1">
      <x:c r="A2" s="9" t="str">
        <x:v>里程碑日期是建议目标；实际承诺应在真实盒子、联系人和联调窗口补齐后冻结。 </x:v>
      </x:c>
      <x:c r="B2" s="9"/>
      <x:c r="C2" s="9"/>
      <x:c r="D2" s="9"/>
      <x:c r="E2" s="9"/>
      <x:c r="F2" s="9"/>
    </x:row>
    <x:row r="4" ht="28" customHeight="1">
      <x:c r="A4" s="50" t="str">
        <x:v>ID</x:v>
      </x:c>
      <x:c r="B4" s="50" t="str">
        <x:v>里程碑</x:v>
      </x:c>
      <x:c r="C4" s="50" t="str">
        <x:v>计划日期</x:v>
      </x:c>
      <x:c r="D4" s="50" t="str">
        <x:v>进度</x:v>
      </x:c>
      <x:c r="E4" s="50" t="str">
        <x:v>状态</x:v>
      </x:c>
      <x:c r="F4" s="50" t="str">
        <x:v>完成条件</x:v>
      </x:c>
    </x:row>
    <x:row r="5" ht="46" customHeight="1">
      <x:c r="A5" s="67" t="str">
        <x:v>M0</x:v>
      </x:c>
      <x:c r="B5" s="53" t="str">
        <x:v>Git 与运行时合并基线</x:v>
      </x:c>
      <x:c r="C5" s="71" t="n">
        <x:v>46232.166666666664</x:v>
      </x:c>
      <x:c r="D5" s="68" t="n">
        <x:v>1</x:v>
      </x:c>
      <x:c r="E5" s="67" t="str">
        <x:v>已完成</x:v>
      </x:c>
      <x:c r="F5" s="53" t="str">
        <x:v>单入口、单依赖图、三 Tab 生产 Shell 有代码证据</x:v>
      </x:c>
    </x:row>
    <x:row r="6" ht="46" customHeight="1">
      <x:c r="A6" s="67" t="str">
        <x:v>M1</x:v>
      </x:c>
      <x:c r="B6" s="53" t="str">
        <x:v>客户端契约/模型/缓存闭环</x:v>
      </x:c>
      <x:c r="C6" s="71" t="n">
        <x:v>46237.166666666664</x:v>
      </x:c>
      <x:c r="D6" s="68" t="n">
        <x:v>0.9</x:v>
      </x:c>
      <x:c r="E6" s="67" t="str">
        <x:v>进行中</x:v>
      </x:c>
      <x:c r="F6" s="53" t="str">
        <x:v>T14/T15 完成；当前树 B2 测试通过</x:v>
      </x:c>
    </x:row>
    <x:row r="7" ht="46" customHeight="1">
      <x:c r="A7" s="67" t="str">
        <x:v>M2</x:v>
      </x:c>
      <x:c r="B7" s="53" t="str">
        <x:v>客户端任务/相册/复制/设置闭环</x:v>
      </x:c>
      <x:c r="C7" s="71" t="n">
        <x:v>46240.166666666664</x:v>
      </x:c>
      <x:c r="D7" s="68" t="n">
        <x:v>0.88</x:v>
      </x:c>
      <x:c r="E7" s="67" t="str">
        <x:v>进行中</x:v>
      </x:c>
      <x:c r="F7" s="53" t="str">
        <x:v>T35/T36 完成；无协议旁路</x:v>
      </x:c>
    </x:row>
    <x:row r="8" ht="46" customHeight="1">
      <x:c r="A8" s="67" t="str">
        <x:v>M3</x:v>
      </x:c>
      <x:c r="B8" s="53" t="str">
        <x:v>真实盒子前半与相册审阅 E2E</x:v>
      </x:c>
      <x:c r="C8" s="71" t="n">
        <x:v>46245.166666666664</x:v>
      </x:c>
      <x:c r="D8" s="68" t="n">
        <x:v>0</x:v>
      </x:c>
      <x:c r="E8" s="67" t="str">
        <x:v>阻塞</x:v>
      </x:c>
      <x:c r="F8" s="53" t="str">
        <x:v>B3/B4/B5 真盒退出门通过</x:v>
      </x:c>
    </x:row>
    <x:row r="9" ht="46" customHeight="1">
      <x:c r="A9" s="67" t="str">
        <x:v>M4</x:v>
      </x:c>
      <x:c r="B9" s="53" t="str">
        <x:v>真实盒子复制/日志/设置 E2E</x:v>
      </x:c>
      <x:c r="C9" s="71" t="n">
        <x:v>46247.166666666664</x:v>
      </x:c>
      <x:c r="D9" s="68" t="n">
        <x:v>0</x:v>
      </x:c>
      <x:c r="E9" s="67" t="str">
        <x:v>阻塞</x:v>
      </x:c>
      <x:c r="F9" s="53" t="str">
        <x:v>B6 真盒退出门通过</x:v>
      </x:c>
    </x:row>
    <x:row r="10" ht="46" customHeight="1">
      <x:c r="A10" s="67" t="str">
        <x:v>M5</x:v>
      </x:c>
      <x:c r="B10" s="53" t="str">
        <x:v>签名 Release 与 GO/NO-GO</x:v>
      </x:c>
      <x:c r="C10" s="71" t="n">
        <x:v>46249.166666666664</x:v>
      </x:c>
      <x:c r="D10" s="68" t="n">
        <x:v>0</x:v>
      </x:c>
      <x:c r="E10" s="67" t="str">
        <x:v>阻塞</x:v>
      </x:c>
      <x:c r="F10" s="53" t="str">
        <x:v>strict baseline、11 项 E2E、签名验签、干净工作区全通过</x:v>
      </x:c>
    </x:row>
  </x:sheetData>
  <x:mergeCells>
    <x:mergeCell ref="A1:F1"/>
    <x:mergeCell ref="A2:F2"/>
  </x:mergeCells>
  <x:conditionalFormatting sqref="D5:D10">
    <x:cfRule type="dataBar" priority="1">
      <x:dataBar>
        <x:cfvo type="min"/>
        <x:cfvo type="max"/>
        <x:color rgb="FF2E74B5"/>
      </x:dataBar>
    </x:cfRule>
  </x:conditionalFormatting>
  <x:conditionalFormatting sqref="E5:E10">
    <x:cfRule type="expression" dxfId="13" priority="2">
      <x:formula>$E5="已完成"</x:formula>
    </x:cfRule>
    <x:cfRule type="expression" dxfId="14" priority="3">
      <x:formula>$E5="进行中"</x:formula>
    </x:cfRule>
    <x:cfRule type="expression" dxfId="15" priority="4">
      <x:formula>$E5="阻塞"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cb27e36c47f49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2" hidden="0" customWidth="1"/>
    <x:col min="3" max="3" width="16" hidden="0" customWidth="1"/>
    <x:col min="4" max="4" width="90" hidden="0" customWidth="1"/>
    <x:col min="5" max="5" width="48" hidden="0" customWidth="1"/>
  </x:cols>
  <x:sheetData>
    <x:row r="1" ht="34" customHeight="1">
      <x:c r="A1" s="4" t="str">
        <x:v>资料来源与可追溯清单</x:v>
      </x:c>
      <x:c r="B1" s="4"/>
      <x:c r="C1" s="4"/>
      <x:c r="D1" s="4"/>
      <x:c r="E1" s="4"/>
    </x:row>
    <x:row r="2" ht="28" customHeight="1">
      <x:c r="A2" s="9" t="str">
        <x:v>交接资料、当前契约、历史证据和 live working tree 共同组成 2026-08-01 实施基线。 </x:v>
      </x:c>
      <x:c r="B2" s="9"/>
      <x:c r="C2" s="9"/>
      <x:c r="D2" s="9"/>
      <x:c r="E2" s="9"/>
    </x:row>
    <x:row r="4" ht="28" customHeight="1">
      <x:c r="A4" s="50" t="str">
        <x:v>ID</x:v>
      </x:c>
      <x:c r="B4" s="50" t="str">
        <x:v>资料</x:v>
      </x:c>
      <x:c r="C4" s="50" t="str">
        <x:v>类型</x:v>
      </x:c>
      <x:c r="D4" s="50" t="str">
        <x:v>路径</x:v>
      </x:c>
      <x:c r="E4" s="50" t="str">
        <x:v>用途</x:v>
      </x:c>
    </x:row>
    <x:row r="5" ht="50" customHeight="1">
      <x:c r="A5" s="67" t="str">
        <x:v>S01</x:v>
      </x:c>
      <x:c r="B5" s="67" t="str">
        <x:v>Aves 项目交接 README</x:v>
      </x:c>
      <x:c r="C5" s="67" t="str">
        <x:v>交接资料</x:v>
      </x:c>
      <x:c r="D5" s="53" t="str">
        <x:v>C:\Users\32714\Desktop\前端任务清单\7.29 项目合并\aves交接资料\README.md</x:v>
      </x:c>
      <x:c r="E5" s="53" t="str">
        <x:v>Aves 功能范围、运行方式、风险与测试基线</x:v>
      </x:c>
    </x:row>
    <x:row r="6" ht="50" customHeight="1">
      <x:c r="A6" s="67" t="str">
        <x:v>S02</x:v>
      </x:c>
      <x:c r="B6" s="67" t="str">
        <x:v>Aves 接口对照表</x:v>
      </x:c>
      <x:c r="C6" s="67" t="str">
        <x:v>接口资料</x:v>
      </x:c>
      <x:c r="D6" s="53" t="str">
        <x:v>C:\Users\32714\Desktop\前端任务清单\7.29 项目合并\aves交接资料\接口对照表.md</x:v>
      </x:c>
      <x:c r="E6" s="53" t="str">
        <x:v>REST、WebSocket、错误、幂等与媒体契约</x:v>
      </x:c>
    </x:row>
    <x:row r="7" ht="50" customHeight="1">
      <x:c r="A7" s="67" t="str">
        <x:v>S03</x:v>
      </x:c>
      <x:c r="B7" s="67" t="str">
        <x:v>Aves 数据字段对照表</x:v>
      </x:c>
      <x:c r="C7" s="67" t="str">
        <x:v>数据资料</x:v>
      </x:c>
      <x:c r="D7" s="53" t="str">
        <x:v>C:\Users\32714\Desktop\前端任务清单\7.29 项目合并\aves交接资料\数据字段对照表.md</x:v>
      </x:c>
      <x:c r="E7" s="53" t="str">
        <x:v>DTO、枚举、缓存键和空值语义</x:v>
      </x:c>
    </x:row>
    <x:row r="8" ht="50" customHeight="1">
      <x:c r="A8" s="67" t="str">
        <x:v>S04</x:v>
      </x:c>
      <x:c r="B8" s="67" t="str">
        <x:v>Aves 冲突与联调风险清单</x:v>
      </x:c>
      <x:c r="C8" s="67" t="str">
        <x:v>风险资料</x:v>
      </x:c>
      <x:c r="D8" s="53" t="str">
        <x:v>C:\Users\32714\Desktop\前端任务清单\7.29 项目合并\aves交接资料\双方改动冲突清单.md</x:v>
      </x:c>
      <x:c r="E8" s="53" t="str">
        <x:v>P0/P1/P2 风险与冲突解决顺序</x:v>
      </x:c>
    </x:row>
    <x:row r="9" ht="50" customHeight="1">
      <x:c r="A9" s="67" t="str">
        <x:v>S05</x:v>
      </x:c>
      <x:c r="B9" s="67" t="str">
        <x:v>Part2 负责人交接资料</x:v>
      </x:c>
      <x:c r="C9" s="67" t="str">
        <x:v>交接资料</x:v>
      </x:c>
      <x:c r="D9" s="53" t="str">
        <x:v>C:\Users\32714\Desktop\前端任务清单\7.29 项目合并\part2交接资料\PART2_RESPONSIBLE_HANDOFF.md</x:v>
      </x:c>
      <x:c r="E9" s="53" t="str">
        <x:v>任务、设备、设置范围及原演示链路缺口</x:v>
      </x:c>
    </x:row>
    <x:row r="10" ht="50" customHeight="1">
      <x:c r="A10" s="67" t="str">
        <x:v>S06</x:v>
      </x:c>
      <x:c r="B10" s="67" t="str">
        <x:v>原项目合并实施批次说明书</x:v>
      </x:c>
      <x:c r="C10" s="67" t="str">
        <x:v>历史实施稿</x:v>
      </x:c>
      <x:c r="D10" s="53" t="str">
        <x:v>D:\Androidstudio2\project\birdpart2\docs\birdpart2_项目合并实施批次说明书_2026-07-29.docx</x:v>
      </x:c>
      <x:c r="E10" s="53" t="str">
        <x:v>B0-B7 批次结构、退出门和回滚原则</x:v>
      </x:c>
    </x:row>
    <x:row r="11" ht="50" customHeight="1">
      <x:c r="A11" s="67" t="str">
        <x:v>S07</x:v>
      </x:c>
      <x:c r="B11" s="67" t="str">
        <x:v>BirdBox v1 ADR 与契约</x:v>
      </x:c>
      <x:c r="C11" s="67" t="str">
        <x:v>当前契约</x:v>
      </x:c>
      <x:c r="D11" s="53" t="str">
        <x:v>D:\Androidstudio2\project\birdpart2\docs\decisions\ADR-001-birdbox-v1.md</x:v>
      </x:c>
      <x:c r="E11" s="53" t="str">
        <x:v>已冻结的 App 侧协议与外部阻塞</x:v>
      </x:c>
    </x:row>
    <x:row r="12" ht="50" customHeight="1">
      <x:c r="A12" s="67" t="str">
        <x:v>S08</x:v>
      </x:c>
      <x:c r="B12" s="67" t="str">
        <x:v>B7 预检证据</x:v>
      </x:c>
      <x:c r="C12" s="67" t="str">
        <x:v>历史证据</x:v>
      </x:c>
      <x:c r="D12" s="53" t="str">
        <x:v>D:\Androidstudio2\project\birdpart2\build\b7\b7-gate-evidence.json</x:v>
      </x:c>
      <x:c r="E12" s="53" t="str">
        <x:v>2026-07-29 预检、测试、Debug APK 与工具版本</x:v>
      </x:c>
    </x:row>
    <x:row r="13" ht="50" customHeight="1">
      <x:c r="A13" s="67" t="str">
        <x:v>S09</x:v>
      </x:c>
      <x:c r="B13" s="67" t="str">
        <x:v>birdpart2 当前工作区</x:v>
      </x:c>
      <x:c r="C13" s="67" t="str">
        <x:v>代码基线</x:v>
      </x:c>
      <x:c r="D13" s="53" t="str">
        <x:v>D:\Androidstudio2\project\birdpart2</x:v>
      </x:c>
      <x:c r="E13" s="53" t="str">
        <x:v>入口、Shell、依赖、Repository、mock、测试和工作区现状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428e4bdc98c44b8"/>
  </x:tableParts>
</x:worksheet>
</file>